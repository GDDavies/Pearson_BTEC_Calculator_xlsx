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2624" codeName="{B7FE6334-C1A2-E50D-BD3D-5F4D41BBC2E3}"/>
  <workbookPr codeName="ThisWorkbook" autoCompressPictures="0"/>
  <bookViews>
    <workbookView minimized="1" xWindow="60" yWindow="60" windowWidth="25880" windowHeight="17740" tabRatio="686" activeTab="2"/>
  </bookViews>
  <sheets>
    <sheet name="Start" sheetId="15" r:id="rId1"/>
    <sheet name="Award" sheetId="1" r:id="rId2"/>
    <sheet name="Data" sheetId="3" r:id="rId3"/>
    <sheet name="Drop Down" sheetId="5" state="hidden" r:id="rId4"/>
    <sheet name="Sheet1" sheetId="8" state="hidden" r:id="rId5"/>
    <sheet name="Certificate" sheetId="9" r:id="rId6"/>
    <sheet name="Cert Unit Data" sheetId="12" state="hidden" r:id="rId7"/>
    <sheet name="Cert Validation" sheetId="11" state="hidden" r:id="rId8"/>
    <sheet name="Extended Certificate" sheetId="18" r:id="rId9"/>
    <sheet name="Ext Cert Unit Data" sheetId="16" state="hidden" r:id="rId10"/>
    <sheet name="Diploma" sheetId="19" r:id="rId11"/>
    <sheet name="Diploma Validation" sheetId="20" state="hidden" r:id="rId12"/>
    <sheet name="Ext Cert Validation" sheetId="17" state="hidden" r:id="rId13"/>
    <sheet name="Diploma Unit Data" sheetId="21" state="hidden" r:id="rId14"/>
    <sheet name="Sheet1 (2)" sheetId="10" state="hidden" r:id="rId15"/>
  </sheets>
  <externalReferences>
    <externalReference r:id="rId16"/>
    <externalReference r:id="rId17"/>
    <externalReference r:id="rId18"/>
  </externalReferences>
  <definedNames>
    <definedName name="Animal_Care_Col">'Drop Down'!$CD:$CD</definedName>
    <definedName name="Animal_Care_Start">'Drop Down'!$CE$2:$CE$4</definedName>
    <definedName name="Application_of_Science_Col">'Drop Down'!$BF:$BF</definedName>
    <definedName name="Application_of_Science_Start">'Drop Down'!$BG$2:$BG$3</definedName>
    <definedName name="Applied_Science_E_Col">'Ext Cert Validation'!$ET:$ET</definedName>
    <definedName name="Applied_Science_E_Start">'Ext Cert Validation'!$EU$2:$EU$17</definedName>
    <definedName name="Art_and_Design_A_Col">'Cert Validation'!$B:$B</definedName>
    <definedName name="Art_and_Design_A_Start">'Cert Validation'!$C$2:$C$12</definedName>
    <definedName name="Art_and_Design_Col">'Drop Down'!$B:$B</definedName>
    <definedName name="Art_and_Design_D_Col">'Diploma Validation'!$B:$B</definedName>
    <definedName name="Art_and_Design_D_Start">'Diploma Validation'!$C$2:$C$35</definedName>
    <definedName name="Art_and_Design_Design_Crafts_A_Col">'Cert Validation'!$DB:$DB</definedName>
    <definedName name="Art_and_Design_Design_Crafts_A_Start">'Cert Validation'!$DC$2:$DC$6</definedName>
    <definedName name="Art_and_Design_Design_Crafts_D_Col">'Diploma Validation'!$DJ:$DJ</definedName>
    <definedName name="Art_and_Design_Design_Crafts_D_Start">'Diploma Validation'!$DK$2:$DK$12</definedName>
    <definedName name="Art_and_Design_Design_Crafts_E_Col">'Ext Cert Validation'!$DJ:$DJ</definedName>
    <definedName name="Art_and_Design_Design_Crafts_E_Start">'Ext Cert Validation'!$DK$2:$DK$9</definedName>
    <definedName name="Art_and_Design_E_Col">'Ext Cert Validation'!$B:$B</definedName>
    <definedName name="Art_and_Design_E_Start">'Ext Cert Validation'!$C$2:$C$19</definedName>
    <definedName name="Art_and_Design_Fashion_and_Textiles_A_Col">'Cert Validation'!$DV:$DV</definedName>
    <definedName name="Art_and_Design_Fashion_and_Textiles_A_Start">'Cert Validation'!$DW$2</definedName>
    <definedName name="Art_and_Design_Fashion_and_Textiles_B_Col">'Cert Validation'!$DV:$DV</definedName>
    <definedName name="Art_and_Design_Fashion_and_Textiles_B_Start">'Cert Validation'!$DW$2</definedName>
    <definedName name="Art_and_Design_Fashion_and_Textiles_D_Col">'Diploma Validation'!$DN:$DN</definedName>
    <definedName name="Art_and_Design_Fashion_and_Textiles_D_Start">'Diploma Validation'!$DO$2:$DO$14</definedName>
    <definedName name="Art_and_Design_Fashion_and_Textiles_E_Col">'Ext Cert Validation'!$DN:$DN</definedName>
    <definedName name="Art_and_Design_Fashion_and_Textiles_E_Start">'Ext Cert Validation'!$DO$2:$DO$9</definedName>
    <definedName name="Art_and_Design_Photography_A_Col">'Cert Validation'!$DF:$DF</definedName>
    <definedName name="Art_and_Design_Photography_A_Start">'Cert Validation'!$DG$2:$DG$7</definedName>
    <definedName name="Art_and_Design_Photography_D_Col">'Diploma Validation'!$DR:$DR</definedName>
    <definedName name="Art_and_Design_Photography_D_Start">'Diploma Validation'!$DS$2:$DS$12</definedName>
    <definedName name="Art_and_Design_Photography_E_Col">'Ext Cert Validation'!$DR:$DR</definedName>
    <definedName name="Art_and_Design_Photography_E_Start">'Ext Cert Validation'!$DS$2:$DS$11</definedName>
    <definedName name="Art_and_Design_Product_Design_A_Col">'Cert Validation'!$DJ:$DJ</definedName>
    <definedName name="Art_and_Design_Product_Design_A_Start">'Cert Validation'!$DK$2:$DK$8</definedName>
    <definedName name="Art_and_Design_Product_Design_D_Col">'Diploma Validation'!$DV:$DV</definedName>
    <definedName name="Art_and_Design_Product_Design_D_Start">'Diploma Validation'!$DW$2:$DW$18</definedName>
    <definedName name="Art_and_Design_Product_Design_E_Col">'Ext Cert Validation'!$DV:$DV</definedName>
    <definedName name="Art_and_Design_Product_Design_E_Start">'Ext Cert Validation'!$DW$2:$DW$12</definedName>
    <definedName name="Art_and_Design_Start">'Drop Down'!$C$2:$C$5</definedName>
    <definedName name="Art_and_Design_Visual_Arts_A_Col">'Cert Validation'!$DN:$DN</definedName>
    <definedName name="Art_and_Design_Visual_Arts_A_Start">'Cert Validation'!$DO$2:$DO$8</definedName>
    <definedName name="Art_and_Design_Visual_Arts_D_Col">'Diploma Validation'!$DZ:$DZ</definedName>
    <definedName name="Art_and_Design_Visual_Arts_D_Start">'Diploma Validation'!$EA$2:$EA$13</definedName>
    <definedName name="Art_and_Design_Visual_Arts_E_Col">'Ext Cert Validation'!$DZ:$DZ</definedName>
    <definedName name="Art_and_Design_Visual_Arts_E_Start">'Ext Cert Validation'!$EA$2:$EA$12</definedName>
    <definedName name="Art_and_Design_Visual_Communication_A_Col">'Cert Validation'!$DR:$DR</definedName>
    <definedName name="Art_and_Design_Visual_Communication_A_Start">'Cert Validation'!$DS$2:$DS$7</definedName>
    <definedName name="Art_and_Design_Visual_Communication_D_Col">'Diploma Validation'!$ED:$ED</definedName>
    <definedName name="Art_and_Design_Visual_Communication_D_Start">'Diploma Validation'!$EE$2:$EE$16</definedName>
    <definedName name="Art_and_Design_Visual_Communication_E_Col">'Ext Cert Validation'!$ED:$ED</definedName>
    <definedName name="Art_and_Design_Visual_Communication_E_Start">'Ext Cert Validation'!$EE$2:$EE$10</definedName>
    <definedName name="Award">Start!$H$18</definedName>
    <definedName name="Business">'Cert Unit Data'!$Q$16:$Q$27</definedName>
    <definedName name="Business_A_Col">'Cert Validation'!$F:$F</definedName>
    <definedName name="Business_A_Start">'Cert Validation'!$G$2:$G$7</definedName>
    <definedName name="Business_Col">'Drop Down'!$F:$F</definedName>
    <definedName name="Business_D_B_Col">'Diploma Validation'!$FB:$FB</definedName>
    <definedName name="Business_D_B_Start">'Diploma Validation'!$FC$2:$FC$11</definedName>
    <definedName name="Business_D_Col">'Diploma Validation'!$F:$F</definedName>
    <definedName name="Business_D_Start">'Diploma Validation'!$G$2:$G$12</definedName>
    <definedName name="Business_E_Col">'Ext Cert Validation'!$F:$F</definedName>
    <definedName name="Business_E_Start">'Ext Cert Validation'!$G$2:$G$15</definedName>
    <definedName name="Business_Start">'Drop Down'!$G$2:$G$7</definedName>
    <definedName name="CDMP_Col">'Drop Down'!$R:$R</definedName>
    <definedName name="CDMP_Start">'Drop Down'!$S$2:$S$6</definedName>
    <definedName name="Certificate">Start!$J$18</definedName>
    <definedName name="Construction_and_the_Built_Environment">'Cert Unit Data'!$Q$32:$Q$42</definedName>
    <definedName name="Construction_and_the_Built_Environment_A_Col">'Cert Validation'!$N:$N</definedName>
    <definedName name="Construction_and_the_Built_Environment_A_Start">'Cert Validation'!$O$2:$O$12</definedName>
    <definedName name="Construction_and_the_Built_Environment_Col">'Drop Down'!$N:$N</definedName>
    <definedName name="Construction_and_the_Built_Environment_D_B_Col">'Diploma Validation'!$FF:$FF</definedName>
    <definedName name="Construction_and_the_Built_Environment_D_B_Start">'Diploma Validation'!$FG$2:$FG$14</definedName>
    <definedName name="Construction_and_the_Built_Environment_D_Col">'Diploma Validation'!$N:$N</definedName>
    <definedName name="Construction_and_the_Built_Environment_D_Start">'Diploma Validation'!$O$2:$O$9</definedName>
    <definedName name="Construction_and_the_Built_Environment_E_Col">'Ext Cert Validation'!$N:$N</definedName>
    <definedName name="Construction_and_the_Built_Environment_E_Start">'Ext Cert Validation'!$O$2:$O$17</definedName>
    <definedName name="Construction_and_the_Built_Environment_Start">'Drop Down'!$O$2:$O$8</definedName>
    <definedName name="Construction_and_the_Built_EnvironmentZ_Col">'Drop Down'!$BV:$BV</definedName>
    <definedName name="Construction_and_the_Built_EnvironmentZ_Start">'Drop Down'!$BW$2:$BW$2</definedName>
    <definedName name="CPLD">'Cert Unit Data'!$Q$28:$Q$31</definedName>
    <definedName name="CPLD_A_Col">'Cert Validation'!$J:$J</definedName>
    <definedName name="CPLD_A_Start">'Cert Validation'!$K$2:$K$5</definedName>
    <definedName name="CPLD_Col">'Drop Down'!$J:$J</definedName>
    <definedName name="CPLD_Start">'Drop Down'!$K$2:$K$7</definedName>
    <definedName name="Creative_Digital_Media_Production">'Cert Unit Data'!$Q$44:$Q$53</definedName>
    <definedName name="Creative_Digital_Media_Production_A_Col">'Cert Validation'!$R:$R</definedName>
    <definedName name="Creative_Digital_Media_Production_A_Start">'Cert Validation'!$S$2:$S$6</definedName>
    <definedName name="Creative_Digital_Media_Production_B_Col">'Cert Validation'!$CX:$CX</definedName>
    <definedName name="Creative_Digital_Media_Production_B_Start">'Cert Validation'!$CY$2:$CY$8</definedName>
    <definedName name="Creative_Digital_Media_Production_Col">'Drop Down'!$R:$R</definedName>
    <definedName name="Creative_Digital_Media_Production_D_B_Col">'Diploma Validation'!$FJ:$FJ</definedName>
    <definedName name="Creative_Digital_Media_Production_D_B_Start">'Diploma Validation'!$FK$2:$FK$6</definedName>
    <definedName name="Creative_Digital_Media_Production_D_C_Col">'Diploma Validation'!$FN:$FN</definedName>
    <definedName name="Creative_Digital_Media_Production_D_C_Start">'Diploma Validation'!$FO$2:$FO$8</definedName>
    <definedName name="Creative_Digital_Media_Production_D_Col">'Diploma Validation'!$R:$R</definedName>
    <definedName name="Creative_Digital_Media_Production_D_Start">'Diploma Validation'!$S$2:$S$6</definedName>
    <definedName name="Creative_Digital_Media_Production_E_B_Col">'Ext Cert Validation'!$DF:$DF</definedName>
    <definedName name="Creative_Digital_Media_Production_E_B_Start">'Ext Cert Validation'!$DG$2:$DG$11</definedName>
    <definedName name="Creative_Digital_Media_Production_E_Col">'Ext Cert Validation'!$R:$R</definedName>
    <definedName name="Creative_Digital_Media_Production_E_Start">'Ext Cert Validation'!$S$2:$S$6</definedName>
    <definedName name="Creative_Digital_Media_Production_Start">'Drop Down'!$S$2:$S$6</definedName>
    <definedName name="dipRange">Diploma!$G$23:$G$31,Diploma!$G$33:$G$40,Diploma!$G$42:$G$46</definedName>
    <definedName name="Engineering">'Cert Unit Data'!$Q$55:$Q$64</definedName>
    <definedName name="Engineering_A_Col">'Cert Validation'!$V:$V</definedName>
    <definedName name="Engineering_A_Start">'Cert Validation'!$W$2:$W$11</definedName>
    <definedName name="Engineering_Col">'Drop Down'!$V:$V</definedName>
    <definedName name="Engineering_D_B_Col">'Diploma Validation'!$FR:$FR</definedName>
    <definedName name="Engineering_D_B_Start">'Diploma Validation'!$FS$2:$FS$24</definedName>
    <definedName name="Engineering_D_Col">'Diploma Validation'!$V:$V</definedName>
    <definedName name="Engineering_D_Start">'Diploma Validation'!$W$2:$W$6</definedName>
    <definedName name="Engineering_E_Col">'Ext Cert Validation'!$V:$V</definedName>
    <definedName name="Engineering_E_Start">'Ext Cert Validation'!$W$2:$W$17</definedName>
    <definedName name="Engineering_Maintenance_Pathway_D_B_Col">'Diploma Validation'!$ID:$ID</definedName>
    <definedName name="Engineering_Maintenance_Pathway_D_B_Start">'Diploma Validation'!$IE$2:$IE$8</definedName>
    <definedName name="Engineering_Maintenance_Pathway_D_Col">'Diploma Validation'!$HZ:$HZ</definedName>
    <definedName name="Engineering_Maintenance_Pathway_D_Start">'Diploma Validation'!$IA$2:$IA$5</definedName>
    <definedName name="Engineering_Manufacturing_Pathway_D_B_Col">'Diploma Validation'!$IL:$IL</definedName>
    <definedName name="Engineering_Manufacturing_Pathway_D_B_Start">'Diploma Validation'!$IM$2:$IM$13</definedName>
    <definedName name="Engineering_Manufacturing_Pathway_D_Col">'Diploma Validation'!$IH:$IH</definedName>
    <definedName name="Engineering_Manufacturing_Pathway_D_Start">'Diploma Validation'!$II$2:$II$4</definedName>
    <definedName name="Engineering_Mechanical_Pathway_D_B_Col">'Diploma Validation'!$IT:$IT</definedName>
    <definedName name="Engineering_Mechanical_Pathway_D_B_Start">'Diploma Validation'!$IU$2:$IU$12</definedName>
    <definedName name="Engineering_Mechanical_Pathway_D_Col">'Diploma Validation'!$IP:$IP</definedName>
    <definedName name="Engineering_Mechanical_Pathway_D_Start">'Diploma Validation'!$IQ$2:$IQ$4</definedName>
    <definedName name="Engineering_Start">'Drop Down'!$W$2:$W$7</definedName>
    <definedName name="Engineering_Technology_Pathway_D_B_Col">'Diploma Validation'!$HV:$HV</definedName>
    <definedName name="Engineering_Technology_Pathway_D_B_Start">'Diploma Validation'!$HW$2:$HW$8</definedName>
    <definedName name="Engineering_Technology_Pathway_D_Col">'Diploma Validation'!$HR:$HR</definedName>
    <definedName name="Engineering_Technology_Pathway_D_Start">'Diploma Validation'!$HS$2:$HS$3</definedName>
    <definedName name="Grade_List" localSheetId="6">[1]Data!$A$22:$A$26</definedName>
    <definedName name="Grade_List" localSheetId="7">[1]Data!$A$22:$A$26</definedName>
    <definedName name="Grade_List" localSheetId="5">[1]Data!$A$22:$A$26</definedName>
    <definedName name="Grade_List" localSheetId="14">[1]Data!$A$22:$A$26</definedName>
    <definedName name="Grade_List">Data!$A$22:$A$26</definedName>
    <definedName name="Grades">'Cert Validation'!$C$26:$C$30</definedName>
    <definedName name="Health_and_Social_Care">'Cert Unit Data'!$Q$65:$Q$72</definedName>
    <definedName name="Health_and_Social_Care_A_Col">'Cert Validation'!$Z:$Z</definedName>
    <definedName name="Health_and_Social_Care_A_Start">'Cert Validation'!$AA$2:$AA$9</definedName>
    <definedName name="Health_and_Social_Care_Col">'Drop Down'!$Z:$Z</definedName>
    <definedName name="Health_and_Social_Care_D_B_Col">'Diploma Validation'!$FV:$FV</definedName>
    <definedName name="Health_and_Social_Care_D_B_Start">'Diploma Validation'!$FW$2:$FW$9</definedName>
    <definedName name="Health_and_Social_Care_D_Col">'Diploma Validation'!$Z:$Z</definedName>
    <definedName name="Health_and_Social_Care_D_Start">'Diploma Validation'!$AA$2:$AA$9</definedName>
    <definedName name="Health_and_Social_Care_E_Col">'Ext Cert Validation'!$Z:$Z</definedName>
    <definedName name="Health_and_Social_Care_E_Start">'Ext Cert Validation'!$AA$2:$AA$11</definedName>
    <definedName name="Health_and_Social_Care_Start">'Drop Down'!$AA$2:$AA$7</definedName>
    <definedName name="Hospitality">'Cert Unit Data'!$Q$73:$Q$81</definedName>
    <definedName name="Hospitality_A_Col">'Cert Validation'!$AD:$AD</definedName>
    <definedName name="Hospitality_A_Start">'Cert Validation'!$AE$2:$AE$7</definedName>
    <definedName name="Hospitality_B_Col">'Cert Validation'!$DZ:$DZ</definedName>
    <definedName name="Hospitality_B_Start">'Cert Validation'!$EA$2:$EA$7</definedName>
    <definedName name="Hospitality_Col">'Drop Down'!$AD:$AD</definedName>
    <definedName name="Hospitality_D_B_Col">'Diploma Validation'!$EL:$EL</definedName>
    <definedName name="Hospitality_D_B_Start">'Diploma Validation'!$EM$2:$EM$13</definedName>
    <definedName name="Hospitality_D_Col">'Diploma Validation'!$AD:$AD</definedName>
    <definedName name="Hospitality_D_Start">'Diploma Validation'!$AE$2:$AE$6</definedName>
    <definedName name="Hospitality_E_B_Col">'Ext Cert Validation'!$EL:$EL</definedName>
    <definedName name="Hospitality_E_B_Start">'Ext Cert Validation'!$EM$2:$EM$8</definedName>
    <definedName name="Hospitality_E_Col">'Ext Cert Validation'!$AD:$AD</definedName>
    <definedName name="Hospitality_E_Start">'Ext Cert Validation'!$AE$2:$AE$6</definedName>
    <definedName name="Hospitality_Start">'Drop Down'!$AE$2:$AE$6</definedName>
    <definedName name="HospitalityY_Col">'Drop Down'!$BZ:$BZ</definedName>
    <definedName name="HospitalityY_Start">'Drop Down'!$CA$2</definedName>
    <definedName name="ICT_Mand_Col" localSheetId="7">'Cert Validation'!$AH:$AH</definedName>
    <definedName name="ICT_Mand_Col">'Drop Down'!$AH:$AH</definedName>
    <definedName name="ICT_Mand_Start" localSheetId="7">'Cert Validation'!$AI$2:$AI$3</definedName>
    <definedName name="ICT_Mand_Start">'Drop Down'!$AI$2:$AI$3</definedName>
    <definedName name="Information_and_Creative_Technology">'Cert Unit Data'!$Q$82:$Q$95</definedName>
    <definedName name="Information_and_Creative_Technology_A_Col">'Cert Validation'!$AL:$AL</definedName>
    <definedName name="Information_and_Creative_Technology_A_Start">'Cert Validation'!$AM$2:$AM$11</definedName>
    <definedName name="Information_and_Creative_Technology_B_Col">'Cert Validation'!$DV:$DV</definedName>
    <definedName name="Information_and_Creative_Technology_B_Start">'Cert Validation'!$DW$2</definedName>
    <definedName name="Information_and_Creative_Technology_C_Col">'Drop Down'!$BR:$BR</definedName>
    <definedName name="Information_and_Creative_Technology_C_Start">'Drop Down'!$BS$2:$BS$11</definedName>
    <definedName name="Information_and_Creative_Technology_Col">'Drop Down'!$AL:$AL</definedName>
    <definedName name="Information_and_Creative_Technology_Computer_Science_D_Col">'Diploma Validation'!$GD:$GD</definedName>
    <definedName name="Information_and_Creative_Technology_Computer_Science_D_Start">'Diploma Validation'!$GE$2:$GE$17</definedName>
    <definedName name="Information_and_Creative_Technology_D_B_Col">'Diploma Validation'!$FZ:$FZ</definedName>
    <definedName name="Information_and_Creative_Technology_D_B_Start">'Diploma Validation'!$GA$2:$GA$9</definedName>
    <definedName name="Information_and_Creative_Technology_D_Col">'Diploma Validation'!$AL:$AL</definedName>
    <definedName name="Information_and_Creative_Technology_D_Start">'Diploma Validation'!$AM$2:$AM$12</definedName>
    <definedName name="Information_and_Creative_Technology_E_Col">'Ext Cert Validation'!$AL:$AL</definedName>
    <definedName name="Information_and_Creative_Technology_E_Start">'Ext Cert Validation'!$AM$2:$AM$15</definedName>
    <definedName name="Information_and_Creative_Technology_Optional">Data!$G$24:$G$25</definedName>
    <definedName name="Information_and_Creative_Technology_Start">'Drop Down'!$AM$2:$AM$11</definedName>
    <definedName name="Information_and_Creative_Technology_Systems_Development_and_Support_D_Col">'Diploma Validation'!$GH:$GH</definedName>
    <definedName name="Information_and_Creative_Technology_Systems_Development_and_Support_D_Start">'Diploma Validation'!$GI$2:$GI$17</definedName>
    <definedName name="list1" localSheetId="10">Diploma!$G$23:$G$31</definedName>
    <definedName name="list1">'Extended Certificate'!$G$21:$G$29</definedName>
    <definedName name="list2">Diploma!$G$33:$G$40</definedName>
    <definedName name="list3">Diploma!$G$42:$G$46</definedName>
    <definedName name="Media">'Cert Unit Data'!$Q$34:$Q$38</definedName>
    <definedName name="Music">'Cert Unit Data'!$Q$96:$Q$107</definedName>
    <definedName name="Music_A_Col">'Cert Validation'!$AP:$AP</definedName>
    <definedName name="Music_A_Start">'Cert Validation'!$AQ$2:$AQ$8</definedName>
    <definedName name="Music_B_Col">'Cert Validation'!$ED:$ED</definedName>
    <definedName name="Music_B_Start">'Cert Validation'!$EE$2:$EE$6</definedName>
    <definedName name="Music_Col">'Drop Down'!$AP:$AP</definedName>
    <definedName name="Music_D_B_Col">'Diploma Validation'!$EP:$EP</definedName>
    <definedName name="Music_D_B_Start">'Diploma Validation'!$EQ$2:$EQ$16</definedName>
    <definedName name="Music_D_Col">'Diploma Validation'!$AP:$AP</definedName>
    <definedName name="Music_D_Start">'Diploma Validation'!$AQ$2:$AQ$8</definedName>
    <definedName name="Music_E_B_Col">'Ext Cert Validation'!$EP:$EP</definedName>
    <definedName name="Music_E_B_Start">'Ext Cert Validation'!$EQ$2:$EQ$12</definedName>
    <definedName name="Music_E_Col">'Ext Cert Validation'!$AP:$AP</definedName>
    <definedName name="Music_E_Start">'Ext Cert Validation'!$AQ$2:$AQ$8</definedName>
    <definedName name="Music_Start">'Drop Down'!$AQ$2:$AQ$6</definedName>
    <definedName name="optionb">'Cert Validation'!$BO$2</definedName>
    <definedName name="Performing_Arts_A_Col">'Cert Validation'!$AT:$AT</definedName>
    <definedName name="Performing_Arts_A_Start">'Cert Validation'!$AU$2:$AU$6</definedName>
    <definedName name="Performing_Arts_Acting_A_Col">'Cert Validation'!$BF:$BF</definedName>
    <definedName name="Performing_Arts_Acting_A_Start">'Cert Validation'!$BG$2:$BG$6</definedName>
    <definedName name="Performing_Arts_Acting_B_Col">'Cert Validation'!$BJ:$BJ</definedName>
    <definedName name="Performing_Arts_Acting_B_Start">'Cert Validation'!$BK$2:$BK$13</definedName>
    <definedName name="Performing_Arts_Acting_B2_Col">'Cert Validation'!$BN:$BN</definedName>
    <definedName name="Performing_Arts_Acting_B2_Start">'Cert Validation'!$BO$2</definedName>
    <definedName name="Performing_Arts_Acting_D_B_Col">'Diploma Validation'!$BJ:$BJ</definedName>
    <definedName name="Performing_Arts_Acting_D_B_Start">'Diploma Validation'!$BK$2:$BK$10</definedName>
    <definedName name="Performing_Arts_Acting_D_Col">'Diploma Validation'!$BF:$BF</definedName>
    <definedName name="Performing_Arts_Acting_D_Start">'Diploma Validation'!$BG$2:$BG$11</definedName>
    <definedName name="Performing_Arts_Acting_E_B_Col">'Ext Cert Validation'!$BJ:$BJ</definedName>
    <definedName name="Performing_Arts_Acting_E_B_Start">'Ext Cert Validation'!$BK$2:$BK$4</definedName>
    <definedName name="Performing_Arts_Acting_E_C_Col">'Ext Cert Validation'!$BN:$BN</definedName>
    <definedName name="Performing_Arts_Acting_E_C_Start">'Ext Cert Validation'!$BO$2:$BO$10</definedName>
    <definedName name="Performing_Arts_Acting_E_Col">'Ext Cert Validation'!$BF:$BF</definedName>
    <definedName name="Performing_Arts_Acting_E_Start">'Ext Cert Validation'!$BG$2:$BG$8</definedName>
    <definedName name="Performing_Arts_B_Col">'Cert Validation'!$AX:$AX</definedName>
    <definedName name="Performing_Arts_B_Start">'Cert Validation'!$AY$2:$AY$22</definedName>
    <definedName name="Performing_Arts_B2_Col">'Cert Validation'!$BB:$BB</definedName>
    <definedName name="Performing_Arts_B2_Start">'Cert Validation'!$BC$2:$BC$22</definedName>
    <definedName name="Performing_Arts_Col">'Drop Down'!$AT:$AT</definedName>
    <definedName name="Performing_Arts_D_B_Col">'Diploma Validation'!$AX:$AX</definedName>
    <definedName name="Performing_Arts_D_B_Start">'Diploma Validation'!$AY$2:$AY$30</definedName>
    <definedName name="Performing_Arts_D_Col">'Diploma Validation'!$AT:$AT</definedName>
    <definedName name="Performing_Arts_D_Start">'Diploma Validation'!$AU$2:$AU$6</definedName>
    <definedName name="Performing_Arts_Dance_A_Col">'Cert Validation'!$BR:$BR</definedName>
    <definedName name="Performing_Arts_Dance_A_Start">'Cert Validation'!$BS$2:$BS$7</definedName>
    <definedName name="Performing_Arts_Dance_B_Col">'Cert Validation'!$BV:$BV</definedName>
    <definedName name="Performing_Arts_Dance_B_Start">'Cert Validation'!$BW$2:$BW$12</definedName>
    <definedName name="Performing_Arts_Dance_B2_Col">'Cert Validation'!$BN:$BN</definedName>
    <definedName name="Performing_Arts_Dance_B2_Start">'Cert Validation'!$BO$2</definedName>
    <definedName name="Performing_Arts_Dance_D_B_Col">'Diploma Validation'!$BZ:$BZ</definedName>
    <definedName name="Performing_Arts_Dance_D_B_Start">'Diploma Validation'!$CA$2:$CA$8</definedName>
    <definedName name="Performing_Arts_Dance_D_Col">'Diploma Validation'!$BV:$BV</definedName>
    <definedName name="Performing_Arts_Dance_D_Start">'Diploma Validation'!$BW$2:$BW$12</definedName>
    <definedName name="Performing_Arts_Dance_E_B_Col">'Ext Cert Validation'!$BZ:$BZ</definedName>
    <definedName name="Performing_Arts_Dance_E_B_Start">'Ext Cert Validation'!$CA$2:$CA$3</definedName>
    <definedName name="Performing_Arts_Dance_E_C_Col">'Ext Cert Validation'!$CD:$CD</definedName>
    <definedName name="Performing_Arts_Dance_E_C_Start">'Ext Cert Validation'!$CE$2:$CE$10</definedName>
    <definedName name="Performing_Arts_Dance_E_Col">'Ext Cert Validation'!$BV:$BV</definedName>
    <definedName name="Performing_Arts_Dance_E_Start">'Ext Cert Validation'!$BW$2:$BW$7</definedName>
    <definedName name="Performing_Arts_E_B_Col">'Ext Cert Validation'!$AX:$AX</definedName>
    <definedName name="Performing_Arts_E_B_Start">'Ext Cert Validation'!$AY$2:$AY$22</definedName>
    <definedName name="Performing_Arts_E_Col">'Ext Cert Validation'!$AT:$AT</definedName>
    <definedName name="Performing_Arts_E_Start">'Ext Cert Validation'!$AU$2:$AU$6</definedName>
    <definedName name="Performing_Arts_Musical_Theatre_A_Col">'Cert Validation'!$BZ:$BZ</definedName>
    <definedName name="Performing_Arts_Musical_Theatre_A_Start">'Cert Validation'!$CA$2:$CA$5</definedName>
    <definedName name="Performing_Arts_Musical_Theatre_B_Col">'Cert Validation'!$CD:$CD</definedName>
    <definedName name="Performing_Arts_Musical_Theatre_B_Start">'Cert Validation'!$CE$2:$CE$14</definedName>
    <definedName name="Performing_Arts_Musical_Theatre_B2_Col">'Cert Validation'!$BJ:$BJ</definedName>
    <definedName name="Performing_Arts_Musical_Theatre_B2_Start">'Cert Validation'!$BO$2</definedName>
    <definedName name="Performing_Arts_Production_A_Col">'Cert Validation'!$CH:$CH</definedName>
    <definedName name="Performing_Arts_Production_A_Start">'Cert Validation'!$CI$2:$CI$11</definedName>
    <definedName name="Performing_Arts_Production_B_Col">'Cert Validation'!$CL:$CL</definedName>
    <definedName name="Performing_Arts_Production_B_Start">'Cert Validation'!$CM$2:$CM$7</definedName>
    <definedName name="Performing_Arts_Production_B2_Col">'Cert Validation'!$BN:$BN</definedName>
    <definedName name="Performing_Arts_Production_B2_Start">'Cert Validation'!$BO$2</definedName>
    <definedName name="Performing_Arts_Production_D_B_Col">'Diploma Validation'!$CT:$CT</definedName>
    <definedName name="Performing_Arts_Production_D_B_Start">'Diploma Validation'!$CU$2:$CU$5</definedName>
    <definedName name="Performing_Arts_Production_D_Col">'Diploma Validation'!$CP:$CP</definedName>
    <definedName name="Performing_Arts_Production_D_Start">'Diploma Validation'!$CQ$2:$CQ$16</definedName>
    <definedName name="Performing_Arts_Production_E_B_Col">'Ext Cert Validation'!$CT:$CT</definedName>
    <definedName name="Performing_Arts_Production_E_B_Start">'Ext Cert Validation'!$CU$2:$CU$10</definedName>
    <definedName name="Performing_Arts_Production_E_Col">'Ext Cert Validation'!$CP:$CP</definedName>
    <definedName name="Performing_Arts_Production_E_Start">'Ext Cert Validation'!$CQ$2:$CQ$11</definedName>
    <definedName name="Performing_Arts_Start">'Drop Down'!$AU$2:$AU$6</definedName>
    <definedName name="Principles_of_Applied_Science_Col">'Drop Down'!$BN:$BN</definedName>
    <definedName name="Principles_of_Applied_Science_Start">'Drop Down'!$BO$2:$BO$3</definedName>
    <definedName name="Public_Services_A_Col">'Cert Validation'!$EH:$EH</definedName>
    <definedName name="Public_Services_A_Start">'Cert Validation'!$EI$2:$EI$10</definedName>
    <definedName name="Public_Services_Col">'Drop Down'!$BJ:$BJ</definedName>
    <definedName name="Public_Services_D_B_Col">'Diploma Validation'!$GP:$GP</definedName>
    <definedName name="Public_Services_D_B_Start">'Diploma Validation'!$GQ$2:$GQ$9</definedName>
    <definedName name="Public_Services_D_Col">'Diploma Validation'!$GL:$GL</definedName>
    <definedName name="Public_Services_D_Start">'Diploma Validation'!$GM$2:$GM$7</definedName>
    <definedName name="Public_Services_E_Col">'Ext Cert Validation'!$EX:$EX</definedName>
    <definedName name="Public_Services_E_Start">'Ext Cert Validation'!$EY$2:$EY$15</definedName>
    <definedName name="Public_Services_Start">'Drop Down'!$BK$2:$BK$4</definedName>
    <definedName name="Sport">'Cert Unit Data'!$Q$143:$Q$151</definedName>
    <definedName name="Sport_A_Col">'Cert Validation'!$CP:$CP</definedName>
    <definedName name="Sport_A_Start">'Cert Validation'!$CQ$2:$CQ$10</definedName>
    <definedName name="Sport_Col">'Drop Down'!$AX:$AX</definedName>
    <definedName name="Sport_D_B_Col">'Diploma Validation'!$GT:$GT</definedName>
    <definedName name="Sport_D_B_Start">'Diploma Validation'!$GU$2:$GU$10</definedName>
    <definedName name="Sport_D_Col">'Diploma Validation'!$CX:$CX</definedName>
    <definedName name="Sport_D_Start">'Diploma Validation'!$CY$2:$CY$9</definedName>
    <definedName name="Sport_E_Col">'Ext Cert Validation'!$CX:$CX</definedName>
    <definedName name="Sport_E_Start">'Ext Cert Validation'!$CY$2:$CY$11</definedName>
    <definedName name="Sport_Fitness_and_Exercise_D_B_Col">'Diploma Validation'!$HJ:$HJ</definedName>
    <definedName name="Sport_Fitness_and_Exercise_D_B_Start">'Diploma Validation'!$HK$2:$HK$8</definedName>
    <definedName name="Sport_Fitness_and_Exercise_D_Col">'Diploma Validation'!$HF:$HF</definedName>
    <definedName name="Sport_Fitness_and_Exercise_D_Start">'Diploma Validation'!$HG$2:$HG$3</definedName>
    <definedName name="Sport_Outdoor_and_Adventurous_Activities_D_B_Col">'Diploma Validation'!$HB:$HB</definedName>
    <definedName name="Sport_Outdoor_and_Adventurous_Activities_D_B_Start">'Diploma Validation'!$HC$2:$HC$13</definedName>
    <definedName name="Sport_Outdoor_and_Adventurous_Activities_D_Col">'Diploma Validation'!$GX:$GX</definedName>
    <definedName name="Sport_Outdoor_and_Adventurous_Activities_D_Start">'Diploma Validation'!$GY$2:$GY$6</definedName>
    <definedName name="Sport_Start">'Drop Down'!$AY$2:$AY$5</definedName>
    <definedName name="Travel_and_Tourism">'Cert Unit Data'!$Q$152:$Q$157</definedName>
    <definedName name="Travel_and_Tourism_A_Col">'Cert Validation'!$CT:$CT</definedName>
    <definedName name="Travel_and_Tourism_A_Start">'Cert Validation'!$CU$2:$CU$7</definedName>
    <definedName name="Travel_and_Tourism_Col">'Drop Down'!$BB:$BB</definedName>
    <definedName name="Travel_and_Tourism_D_B_Col">'Diploma Validation'!$HN:$HN</definedName>
    <definedName name="Travel_and_Tourism_D_B_Start">'Diploma Validation'!$HO$2:$HO$10</definedName>
    <definedName name="Travel_and_Tourism_D_Col">'Diploma Validation'!$DB:$DB</definedName>
    <definedName name="Travel_and_Tourism_D_Start">'Diploma Validation'!$DC$2:$DC$5</definedName>
    <definedName name="Travel_and_Tourism_E_Col">'Ext Cert Validation'!$DB:$DB</definedName>
    <definedName name="Travel_and_Tourism_E_Start">'Ext Cert Validation'!$DC$2:$DC$12</definedName>
    <definedName name="Travel_and_Tourism_Start">'Drop Down'!$BC$2:$BC$5</definedName>
    <definedName name="Type_List" localSheetId="0">'[2]Drop Down'!$C$12:$C$26</definedName>
    <definedName name="Type_List">'Drop Down'!$C$10:$C$26</definedName>
    <definedName name="unitgrades">'Cert Unit Data'!$A$29:$A$34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4" i="19" l="1"/>
  <c r="J9" i="19"/>
  <c r="J35" i="18"/>
  <c r="K35" i="18"/>
  <c r="H36" i="18"/>
  <c r="H35" i="18"/>
  <c r="F36" i="18"/>
  <c r="F35" i="18"/>
  <c r="K9" i="18"/>
  <c r="K10" i="18"/>
  <c r="M9" i="18"/>
  <c r="M11" i="18"/>
  <c r="M12" i="18"/>
  <c r="K12" i="18"/>
  <c r="K13" i="18"/>
  <c r="K14" i="18"/>
  <c r="K15" i="18"/>
  <c r="K16" i="18"/>
  <c r="K17" i="18"/>
  <c r="K18" i="18"/>
  <c r="K19" i="18"/>
  <c r="K21" i="18"/>
  <c r="K22" i="18"/>
  <c r="K23" i="18"/>
  <c r="K24" i="18"/>
  <c r="K25" i="18"/>
  <c r="K26" i="18"/>
  <c r="K27" i="18"/>
  <c r="K28" i="18"/>
  <c r="K29" i="18"/>
  <c r="K31" i="18"/>
  <c r="K32" i="18"/>
  <c r="K33" i="18"/>
  <c r="K34" i="18"/>
  <c r="K36" i="18"/>
  <c r="K37" i="18"/>
  <c r="K39" i="18"/>
  <c r="M10" i="18"/>
  <c r="G9" i="18"/>
  <c r="H9" i="18"/>
  <c r="G10" i="18"/>
  <c r="H10" i="18"/>
  <c r="G12" i="18"/>
  <c r="H12" i="18"/>
  <c r="G13" i="18"/>
  <c r="H13" i="18"/>
  <c r="G14" i="18"/>
  <c r="H14" i="18"/>
  <c r="G15" i="18"/>
  <c r="H15" i="18"/>
  <c r="G16" i="18"/>
  <c r="H16" i="18"/>
  <c r="G17" i="18"/>
  <c r="H17" i="18"/>
  <c r="G18" i="18"/>
  <c r="H18" i="18"/>
  <c r="G19" i="18"/>
  <c r="H19" i="18"/>
  <c r="H21" i="18"/>
  <c r="H22" i="18"/>
  <c r="H23" i="18"/>
  <c r="H24" i="18"/>
  <c r="H25" i="18"/>
  <c r="H26" i="18"/>
  <c r="H27" i="18"/>
  <c r="H28" i="18"/>
  <c r="H29" i="18"/>
  <c r="H31" i="18"/>
  <c r="H32" i="18"/>
  <c r="H33" i="18"/>
  <c r="H34" i="18"/>
  <c r="H37" i="18"/>
  <c r="H39" i="18"/>
  <c r="J37" i="18"/>
  <c r="J36" i="18"/>
  <c r="J25" i="9"/>
  <c r="H25" i="9"/>
  <c r="K24" i="9"/>
  <c r="K23" i="9"/>
  <c r="K21" i="9"/>
  <c r="K20" i="9"/>
  <c r="K19" i="9"/>
  <c r="K18" i="9"/>
  <c r="K17" i="9"/>
  <c r="K15" i="9"/>
  <c r="K14" i="9"/>
  <c r="K13" i="9"/>
  <c r="J24" i="9"/>
  <c r="J23" i="9"/>
  <c r="J21" i="9"/>
  <c r="J20" i="9"/>
  <c r="J19" i="9"/>
  <c r="J18" i="9"/>
  <c r="J17" i="9"/>
  <c r="J15" i="9"/>
  <c r="J14" i="9"/>
  <c r="J13" i="9"/>
  <c r="J12" i="9"/>
  <c r="J10" i="9"/>
  <c r="J9" i="9"/>
  <c r="J46" i="19"/>
  <c r="J45" i="19"/>
  <c r="J44" i="19"/>
  <c r="J43" i="19"/>
  <c r="J42" i="19"/>
  <c r="J40" i="19"/>
  <c r="J39" i="19"/>
  <c r="J38" i="19"/>
  <c r="J37" i="19"/>
  <c r="J36" i="19"/>
  <c r="J35" i="19"/>
  <c r="J34" i="19"/>
  <c r="J33" i="19"/>
  <c r="J31" i="19"/>
  <c r="J30" i="19"/>
  <c r="J29" i="19"/>
  <c r="J28" i="19"/>
  <c r="J27" i="19"/>
  <c r="J26" i="19"/>
  <c r="J25" i="19"/>
  <c r="J24" i="19"/>
  <c r="J23" i="19"/>
  <c r="J21" i="19"/>
  <c r="J20" i="19"/>
  <c r="J19" i="19"/>
  <c r="J18" i="19"/>
  <c r="J17" i="19"/>
  <c r="J16" i="19"/>
  <c r="J15" i="19"/>
  <c r="J14" i="19"/>
  <c r="J12" i="19"/>
  <c r="J11" i="19"/>
  <c r="J10" i="19"/>
  <c r="K21" i="19"/>
  <c r="K20" i="19"/>
  <c r="K19" i="19"/>
  <c r="K18" i="19"/>
  <c r="K31" i="19"/>
  <c r="K30" i="19"/>
  <c r="K29" i="19"/>
  <c r="K26" i="19"/>
  <c r="K39" i="19"/>
  <c r="K40" i="19"/>
  <c r="K38" i="19"/>
  <c r="K37" i="19"/>
  <c r="K36" i="19"/>
  <c r="K35" i="19"/>
  <c r="K34" i="19"/>
  <c r="K33" i="19"/>
  <c r="K46" i="19"/>
  <c r="K45" i="19"/>
  <c r="K44" i="19"/>
  <c r="K43" i="19"/>
  <c r="K42" i="19"/>
  <c r="J34" i="18"/>
  <c r="J31" i="18"/>
  <c r="J32" i="18"/>
  <c r="J33" i="18"/>
  <c r="H24" i="9"/>
  <c r="DI14" i="11"/>
  <c r="DI2" i="11"/>
  <c r="DJ2" i="11"/>
  <c r="DI11" i="11"/>
  <c r="DI7" i="11"/>
  <c r="DJ7" i="11"/>
  <c r="A27" i="11"/>
  <c r="A24" i="11"/>
  <c r="A21" i="11"/>
  <c r="A18" i="11"/>
  <c r="A6" i="11"/>
  <c r="B6" i="11"/>
  <c r="A15" i="11"/>
  <c r="A8" i="11"/>
  <c r="B8" i="11"/>
  <c r="GK20" i="20"/>
  <c r="GK4" i="20"/>
  <c r="GL4" i="20"/>
  <c r="GK23" i="20"/>
  <c r="GO7" i="20"/>
  <c r="GP7" i="20"/>
  <c r="EK21" i="20"/>
  <c r="EK18" i="20"/>
  <c r="O29" i="20"/>
  <c r="AE15" i="20"/>
  <c r="AE12" i="20"/>
  <c r="AC15" i="20"/>
  <c r="AC12" i="20"/>
  <c r="Y13" i="20"/>
  <c r="Y5" i="20"/>
  <c r="Z5" i="20"/>
  <c r="Y16" i="20"/>
  <c r="Y4" i="20"/>
  <c r="Z4" i="20"/>
  <c r="M32" i="20"/>
  <c r="M29" i="20"/>
  <c r="M26" i="20"/>
  <c r="M23" i="20"/>
  <c r="M20" i="20"/>
  <c r="O32" i="20"/>
  <c r="G19" i="20"/>
  <c r="E7" i="20"/>
  <c r="F7" i="20"/>
  <c r="O26" i="20"/>
  <c r="O23" i="20"/>
  <c r="O20" i="20"/>
  <c r="G22" i="20"/>
  <c r="FA5" i="20"/>
  <c r="FB5" i="20"/>
  <c r="C39" i="20"/>
  <c r="DW27" i="20"/>
  <c r="DW24" i="20"/>
  <c r="DW21" i="20"/>
  <c r="DU2" i="20"/>
  <c r="DV2" i="20"/>
  <c r="DU24" i="20"/>
  <c r="DU9" i="20"/>
  <c r="DV9" i="20"/>
  <c r="DU21" i="20"/>
  <c r="DU6" i="20"/>
  <c r="DV6" i="20"/>
  <c r="C57" i="20"/>
  <c r="C54" i="20"/>
  <c r="C51" i="20"/>
  <c r="C48" i="20"/>
  <c r="C45" i="20"/>
  <c r="C42" i="20"/>
  <c r="A48" i="20"/>
  <c r="A14" i="20"/>
  <c r="B14" i="20"/>
  <c r="A39" i="20"/>
  <c r="A17" i="20"/>
  <c r="B17" i="20"/>
  <c r="EW23" i="17"/>
  <c r="EW7" i="17"/>
  <c r="EX7" i="17"/>
  <c r="EW20" i="17"/>
  <c r="EW11" i="17"/>
  <c r="EX11" i="17"/>
  <c r="M20" i="17"/>
  <c r="AE17" i="17"/>
  <c r="AE14" i="17"/>
  <c r="AC17" i="17"/>
  <c r="AC14" i="17"/>
  <c r="Y23" i="17"/>
  <c r="Y10" i="17"/>
  <c r="Z10" i="17"/>
  <c r="Y20" i="17"/>
  <c r="Y11" i="17"/>
  <c r="Z11" i="17"/>
  <c r="O32" i="17"/>
  <c r="O29" i="17"/>
  <c r="O26" i="17"/>
  <c r="O23" i="17"/>
  <c r="O20" i="17"/>
  <c r="M32" i="17"/>
  <c r="M29" i="17"/>
  <c r="M26" i="17"/>
  <c r="M23" i="17"/>
  <c r="E23" i="17"/>
  <c r="E26" i="17"/>
  <c r="F14" i="17"/>
  <c r="DU18" i="17"/>
  <c r="DU2" i="17"/>
  <c r="DV2" i="17"/>
  <c r="DU15" i="17"/>
  <c r="DU7" i="17"/>
  <c r="DV7" i="17"/>
  <c r="DQ18" i="17"/>
  <c r="DQ3" i="17"/>
  <c r="DR3" i="17"/>
  <c r="DQ15" i="17"/>
  <c r="DQ11" i="17"/>
  <c r="DR11" i="17"/>
  <c r="DI17" i="17"/>
  <c r="DI2" i="17"/>
  <c r="DJ2" i="17"/>
  <c r="DI14" i="17"/>
  <c r="DI9" i="17"/>
  <c r="DJ9" i="17"/>
  <c r="A44" i="17"/>
  <c r="A41" i="17"/>
  <c r="A38" i="17"/>
  <c r="A35" i="17"/>
  <c r="A32" i="17"/>
  <c r="A29" i="17"/>
  <c r="A26" i="17"/>
  <c r="A15" i="17"/>
  <c r="B15" i="17"/>
  <c r="A23" i="17"/>
  <c r="E23" i="19"/>
  <c r="H38" i="19"/>
  <c r="H39" i="19"/>
  <c r="F38" i="19"/>
  <c r="F39" i="19"/>
  <c r="AL3" i="20"/>
  <c r="AL4" i="20"/>
  <c r="AL5" i="20"/>
  <c r="AL6" i="20"/>
  <c r="AL7" i="20"/>
  <c r="AL8" i="20"/>
  <c r="AL9" i="20"/>
  <c r="AL10" i="20"/>
  <c r="AL11" i="20"/>
  <c r="AL12" i="20"/>
  <c r="AL2" i="20"/>
  <c r="H37" i="19"/>
  <c r="F37" i="19"/>
  <c r="IT3" i="20"/>
  <c r="IT4" i="20"/>
  <c r="IT5" i="20"/>
  <c r="IT6" i="20"/>
  <c r="IT7" i="20"/>
  <c r="IT8" i="20"/>
  <c r="IT9" i="20"/>
  <c r="IT10" i="20"/>
  <c r="IT11" i="20"/>
  <c r="IT12" i="20"/>
  <c r="IT2" i="20"/>
  <c r="IP3" i="20"/>
  <c r="IP4" i="20"/>
  <c r="IP2" i="20"/>
  <c r="IL3" i="20"/>
  <c r="IL4" i="20"/>
  <c r="IL5" i="20"/>
  <c r="IL6" i="20"/>
  <c r="IL7" i="20"/>
  <c r="IL8" i="20"/>
  <c r="IL9" i="20"/>
  <c r="IL10" i="20"/>
  <c r="IL11" i="20"/>
  <c r="IL12" i="20"/>
  <c r="IL13" i="20"/>
  <c r="IH3" i="20"/>
  <c r="IH4" i="20"/>
  <c r="IL2" i="20"/>
  <c r="IH2" i="20"/>
  <c r="ID3" i="20"/>
  <c r="ID4" i="20"/>
  <c r="ID5" i="20"/>
  <c r="ID6" i="20"/>
  <c r="ID7" i="20"/>
  <c r="ID8" i="20"/>
  <c r="ID2" i="20"/>
  <c r="HZ3" i="20"/>
  <c r="HZ4" i="20"/>
  <c r="HZ5" i="20"/>
  <c r="HZ2" i="20"/>
  <c r="HR3" i="20"/>
  <c r="HR2" i="20"/>
  <c r="HV3" i="20"/>
  <c r="HV4" i="20"/>
  <c r="HV5" i="20"/>
  <c r="HV6" i="20"/>
  <c r="HV7" i="20"/>
  <c r="HV8" i="20"/>
  <c r="HV2" i="20"/>
  <c r="G18" i="19"/>
  <c r="H18" i="19"/>
  <c r="DZ3" i="20"/>
  <c r="DZ4" i="20"/>
  <c r="DZ5" i="20"/>
  <c r="DZ6" i="20"/>
  <c r="DZ7" i="20"/>
  <c r="DZ8" i="20"/>
  <c r="DZ9" i="20"/>
  <c r="DZ10" i="20"/>
  <c r="DZ11" i="20"/>
  <c r="DZ12" i="20"/>
  <c r="DZ13" i="20"/>
  <c r="DZ2" i="20"/>
  <c r="HN3" i="20"/>
  <c r="HN4" i="20"/>
  <c r="HN5" i="20"/>
  <c r="HN6" i="20"/>
  <c r="HN7" i="20"/>
  <c r="HN8" i="20"/>
  <c r="HN9" i="20"/>
  <c r="HN10" i="20"/>
  <c r="HN2" i="20"/>
  <c r="DB3" i="20"/>
  <c r="DB4" i="20"/>
  <c r="DB5" i="20"/>
  <c r="DB2" i="20"/>
  <c r="CX2" i="20"/>
  <c r="HJ8" i="20"/>
  <c r="HJ3" i="20"/>
  <c r="HJ4" i="20"/>
  <c r="HJ5" i="20"/>
  <c r="HJ6" i="20"/>
  <c r="HJ7" i="20"/>
  <c r="HJ2" i="20"/>
  <c r="HF2" i="20"/>
  <c r="HF3" i="20"/>
  <c r="HB3" i="20"/>
  <c r="HB4" i="20"/>
  <c r="HB5" i="20"/>
  <c r="HB6" i="20"/>
  <c r="HB7" i="20"/>
  <c r="HB8" i="20"/>
  <c r="HB9" i="20"/>
  <c r="HB10" i="20"/>
  <c r="HB11" i="20"/>
  <c r="HB12" i="20"/>
  <c r="HB13" i="20"/>
  <c r="GX3" i="20"/>
  <c r="GX4" i="20"/>
  <c r="GX5" i="20"/>
  <c r="GX6" i="20"/>
  <c r="GX2" i="20"/>
  <c r="HB2" i="20"/>
  <c r="GT10" i="20"/>
  <c r="GT2" i="20"/>
  <c r="GT3" i="20"/>
  <c r="GT4" i="20"/>
  <c r="GT5" i="20"/>
  <c r="GT6" i="20"/>
  <c r="GT7" i="20"/>
  <c r="GT8" i="20"/>
  <c r="GT9" i="20"/>
  <c r="GP3" i="20"/>
  <c r="GP4" i="20"/>
  <c r="GP5" i="20"/>
  <c r="GP6" i="20"/>
  <c r="GP8" i="20"/>
  <c r="GP9" i="20"/>
  <c r="GP2" i="20"/>
  <c r="CX3" i="20"/>
  <c r="CX4" i="20"/>
  <c r="CX5" i="20"/>
  <c r="CX6" i="20"/>
  <c r="CX7" i="20"/>
  <c r="CX8" i="20"/>
  <c r="CX9" i="20"/>
  <c r="G20" i="19"/>
  <c r="H20" i="19"/>
  <c r="G19" i="19"/>
  <c r="H19" i="19"/>
  <c r="CT3" i="20"/>
  <c r="CT4" i="20"/>
  <c r="CT5" i="20"/>
  <c r="CT2" i="20"/>
  <c r="CP12" i="20"/>
  <c r="CP13" i="20"/>
  <c r="CP14" i="20"/>
  <c r="CP15" i="20"/>
  <c r="CP16" i="20"/>
  <c r="CP3" i="20"/>
  <c r="CP4" i="20"/>
  <c r="CP5" i="20"/>
  <c r="CP6" i="20"/>
  <c r="CP7" i="20"/>
  <c r="CP8" i="20"/>
  <c r="CP9" i="20"/>
  <c r="CP10" i="20"/>
  <c r="CP11" i="20"/>
  <c r="CP2" i="20"/>
  <c r="BZ3" i="20"/>
  <c r="BZ4" i="20"/>
  <c r="BZ5" i="20"/>
  <c r="BZ6" i="20"/>
  <c r="BZ7" i="20"/>
  <c r="BZ8" i="20"/>
  <c r="BZ2" i="20"/>
  <c r="BV12" i="20"/>
  <c r="BV3" i="20"/>
  <c r="BV4" i="20"/>
  <c r="BV5" i="20"/>
  <c r="BV6" i="20"/>
  <c r="BV7" i="20"/>
  <c r="BV8" i="20"/>
  <c r="BV9" i="20"/>
  <c r="BV10" i="20"/>
  <c r="BV11" i="20"/>
  <c r="BV2" i="20"/>
  <c r="BJ3" i="20"/>
  <c r="BJ4" i="20"/>
  <c r="BJ5" i="20"/>
  <c r="BJ6" i="20"/>
  <c r="BJ7" i="20"/>
  <c r="BJ8" i="20"/>
  <c r="BJ9" i="20"/>
  <c r="BJ10" i="20"/>
  <c r="BJ2" i="20"/>
  <c r="AX2" i="20"/>
  <c r="BB2" i="20"/>
  <c r="BF3" i="20"/>
  <c r="BF4" i="20"/>
  <c r="BF5" i="20"/>
  <c r="BF6" i="20"/>
  <c r="BF7" i="20"/>
  <c r="BF8" i="20"/>
  <c r="BF9" i="20"/>
  <c r="BF10" i="20"/>
  <c r="BF11" i="20"/>
  <c r="BF2" i="20"/>
  <c r="AT2" i="20"/>
  <c r="AX3" i="20"/>
  <c r="AX4" i="20"/>
  <c r="AX5" i="20"/>
  <c r="AX6" i="20"/>
  <c r="AX7" i="20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23" i="20"/>
  <c r="AX24" i="20"/>
  <c r="AX25" i="20"/>
  <c r="AX26" i="20"/>
  <c r="AX27" i="20"/>
  <c r="AX28" i="20"/>
  <c r="AX29" i="20"/>
  <c r="AX30" i="20"/>
  <c r="AT3" i="20"/>
  <c r="AT4" i="20"/>
  <c r="AT5" i="20"/>
  <c r="AT6" i="20"/>
  <c r="AP2" i="20"/>
  <c r="GL3" i="20"/>
  <c r="GL5" i="20"/>
  <c r="GL6" i="20"/>
  <c r="GL7" i="20"/>
  <c r="GL2" i="20"/>
  <c r="GH2" i="20"/>
  <c r="H43" i="19"/>
  <c r="H44" i="19"/>
  <c r="H45" i="19"/>
  <c r="H46" i="19"/>
  <c r="H42" i="19"/>
  <c r="F43" i="19"/>
  <c r="F44" i="19"/>
  <c r="F45" i="19"/>
  <c r="F46" i="19"/>
  <c r="F42" i="19"/>
  <c r="H34" i="19"/>
  <c r="H35" i="19"/>
  <c r="H36" i="19"/>
  <c r="H40" i="19"/>
  <c r="H33" i="19"/>
  <c r="H24" i="19"/>
  <c r="H25" i="19"/>
  <c r="H26" i="19"/>
  <c r="H27" i="19"/>
  <c r="H28" i="19"/>
  <c r="H29" i="19"/>
  <c r="H30" i="19"/>
  <c r="H31" i="19"/>
  <c r="H23" i="19"/>
  <c r="F34" i="19"/>
  <c r="F35" i="19"/>
  <c r="F36" i="19"/>
  <c r="F40" i="19"/>
  <c r="F33" i="19"/>
  <c r="F24" i="19"/>
  <c r="F25" i="19"/>
  <c r="F26" i="19"/>
  <c r="F27" i="19"/>
  <c r="F28" i="19"/>
  <c r="F29" i="19"/>
  <c r="F30" i="19"/>
  <c r="F31" i="19"/>
  <c r="F23" i="19"/>
  <c r="EH3" i="11"/>
  <c r="EH4" i="11"/>
  <c r="EH5" i="11"/>
  <c r="EH6" i="11"/>
  <c r="EH7" i="11"/>
  <c r="EH8" i="11"/>
  <c r="EH9" i="11"/>
  <c r="EH10" i="11"/>
  <c r="EH2" i="11"/>
  <c r="EP3" i="20"/>
  <c r="EP4" i="20"/>
  <c r="EP5" i="20"/>
  <c r="EP6" i="20"/>
  <c r="EP7" i="20"/>
  <c r="EP8" i="20"/>
  <c r="EP9" i="20"/>
  <c r="EP10" i="20"/>
  <c r="EP11" i="20"/>
  <c r="EP12" i="20"/>
  <c r="EP13" i="20"/>
  <c r="EP14" i="20"/>
  <c r="EP15" i="20"/>
  <c r="EP16" i="20"/>
  <c r="EP2" i="20"/>
  <c r="AP8" i="20"/>
  <c r="AP3" i="20"/>
  <c r="AP4" i="20"/>
  <c r="AP5" i="20"/>
  <c r="AP6" i="20"/>
  <c r="AP7" i="20"/>
  <c r="GH3" i="20"/>
  <c r="GH4" i="20"/>
  <c r="GH5" i="20"/>
  <c r="GH6" i="20"/>
  <c r="GH7" i="20"/>
  <c r="GH8" i="20"/>
  <c r="GH9" i="20"/>
  <c r="GH10" i="20"/>
  <c r="GH11" i="20"/>
  <c r="GH12" i="20"/>
  <c r="GH13" i="20"/>
  <c r="GH14" i="20"/>
  <c r="GH15" i="20"/>
  <c r="GH16" i="20"/>
  <c r="GH17" i="20"/>
  <c r="GD3" i="20"/>
  <c r="GD4" i="20"/>
  <c r="GD5" i="20"/>
  <c r="GD6" i="20"/>
  <c r="GD7" i="20"/>
  <c r="GD8" i="20"/>
  <c r="GD9" i="20"/>
  <c r="GD10" i="20"/>
  <c r="GD11" i="20"/>
  <c r="GD12" i="20"/>
  <c r="GD13" i="20"/>
  <c r="GD14" i="20"/>
  <c r="GD15" i="20"/>
  <c r="GD16" i="20"/>
  <c r="GD17" i="20"/>
  <c r="GD2" i="20"/>
  <c r="FZ3" i="20"/>
  <c r="FZ4" i="20"/>
  <c r="FZ5" i="20"/>
  <c r="FZ6" i="20"/>
  <c r="FZ7" i="20"/>
  <c r="FZ8" i="20"/>
  <c r="FZ9" i="20"/>
  <c r="FZ2" i="20"/>
  <c r="G10" i="19"/>
  <c r="F10" i="19"/>
  <c r="G9" i="19"/>
  <c r="F9" i="19"/>
  <c r="G12" i="19"/>
  <c r="F12" i="19"/>
  <c r="Z2" i="20"/>
  <c r="Z3" i="20"/>
  <c r="Z6" i="20"/>
  <c r="Z7" i="20"/>
  <c r="Z8" i="20"/>
  <c r="Z9" i="20"/>
  <c r="V3" i="20"/>
  <c r="V4" i="20"/>
  <c r="V5" i="20"/>
  <c r="V6" i="20"/>
  <c r="V2" i="20"/>
  <c r="FV3" i="20"/>
  <c r="FV4" i="20"/>
  <c r="FV5" i="20"/>
  <c r="FV6" i="20"/>
  <c r="FV7" i="20"/>
  <c r="FV8" i="20"/>
  <c r="FV9" i="20"/>
  <c r="FV2" i="20"/>
  <c r="FR11" i="20"/>
  <c r="FR12" i="20"/>
  <c r="FR13" i="20"/>
  <c r="FR14" i="20"/>
  <c r="FR15" i="20"/>
  <c r="FR16" i="20"/>
  <c r="FR17" i="20"/>
  <c r="FR18" i="20"/>
  <c r="FR19" i="20"/>
  <c r="FR20" i="20"/>
  <c r="FR21" i="20"/>
  <c r="FR22" i="20"/>
  <c r="FR23" i="20"/>
  <c r="FR24" i="20"/>
  <c r="FR3" i="20"/>
  <c r="FR4" i="20"/>
  <c r="FR5" i="20"/>
  <c r="FR6" i="20"/>
  <c r="FR7" i="20"/>
  <c r="FR8" i="20"/>
  <c r="FR9" i="20"/>
  <c r="FR10" i="20"/>
  <c r="FR2" i="20"/>
  <c r="R2" i="20"/>
  <c r="FN3" i="20"/>
  <c r="FN4" i="20"/>
  <c r="FN5" i="20"/>
  <c r="FN6" i="20"/>
  <c r="FN7" i="20"/>
  <c r="FN8" i="20"/>
  <c r="FN2" i="20"/>
  <c r="FJ6" i="20"/>
  <c r="FJ3" i="20"/>
  <c r="FJ4" i="20"/>
  <c r="FJ5" i="20"/>
  <c r="FJ2" i="20"/>
  <c r="FB3" i="20"/>
  <c r="FB4" i="20"/>
  <c r="FB6" i="20"/>
  <c r="FB7" i="20"/>
  <c r="FB8" i="20"/>
  <c r="FB9" i="20"/>
  <c r="FB10" i="20"/>
  <c r="FB11" i="20"/>
  <c r="FB2" i="20"/>
  <c r="R3" i="20"/>
  <c r="R4" i="20"/>
  <c r="R5" i="20"/>
  <c r="R6" i="20"/>
  <c r="J5" i="20"/>
  <c r="J4" i="20"/>
  <c r="J3" i="20"/>
  <c r="J2" i="20"/>
  <c r="F2" i="20"/>
  <c r="G17" i="19"/>
  <c r="H17" i="19"/>
  <c r="F3" i="20"/>
  <c r="F4" i="20"/>
  <c r="F5" i="20"/>
  <c r="F6" i="20"/>
  <c r="F8" i="20"/>
  <c r="F9" i="20"/>
  <c r="F10" i="20"/>
  <c r="F11" i="20"/>
  <c r="F12" i="20"/>
  <c r="G11" i="19"/>
  <c r="F11" i="19"/>
  <c r="G16" i="19"/>
  <c r="H16" i="19"/>
  <c r="G14" i="19"/>
  <c r="H14" i="19"/>
  <c r="G15" i="19"/>
  <c r="H15" i="19"/>
  <c r="G21" i="19"/>
  <c r="H21" i="19"/>
  <c r="ED3" i="20"/>
  <c r="ED4" i="20"/>
  <c r="ED5" i="20"/>
  <c r="ED6" i="20"/>
  <c r="ED7" i="20"/>
  <c r="ED8" i="20"/>
  <c r="ED9" i="20"/>
  <c r="ED10" i="20"/>
  <c r="ED11" i="20"/>
  <c r="ED12" i="20"/>
  <c r="ED13" i="20"/>
  <c r="ED14" i="20"/>
  <c r="ED15" i="20"/>
  <c r="ED16" i="20"/>
  <c r="ED2" i="20"/>
  <c r="DV4" i="20"/>
  <c r="DV5" i="20"/>
  <c r="DV7" i="20"/>
  <c r="DV8" i="20"/>
  <c r="DV10" i="20"/>
  <c r="DV11" i="20"/>
  <c r="DV13" i="20"/>
  <c r="DV14" i="20"/>
  <c r="DV15" i="20"/>
  <c r="DV16" i="20"/>
  <c r="DV17" i="20"/>
  <c r="DV18" i="20"/>
  <c r="DR2" i="20"/>
  <c r="DR3" i="20"/>
  <c r="DR4" i="20"/>
  <c r="DR5" i="20"/>
  <c r="DR6" i="20"/>
  <c r="DR7" i="20"/>
  <c r="DR8" i="20"/>
  <c r="DR9" i="20"/>
  <c r="DR10" i="20"/>
  <c r="DR11" i="20"/>
  <c r="DR12" i="20"/>
  <c r="DN2" i="20"/>
  <c r="DN3" i="20"/>
  <c r="DN4" i="20"/>
  <c r="DN5" i="20"/>
  <c r="DN6" i="20"/>
  <c r="DN7" i="20"/>
  <c r="DN8" i="20"/>
  <c r="DN9" i="20"/>
  <c r="DN10" i="20"/>
  <c r="DN11" i="20"/>
  <c r="DN12" i="20"/>
  <c r="DN13" i="20"/>
  <c r="DN14" i="20"/>
  <c r="DJ2" i="20"/>
  <c r="DJ3" i="20"/>
  <c r="DJ4" i="20"/>
  <c r="DJ5" i="20"/>
  <c r="DJ6" i="20"/>
  <c r="DJ7" i="20"/>
  <c r="DJ8" i="20"/>
  <c r="DJ9" i="20"/>
  <c r="DJ10" i="20"/>
  <c r="DJ11" i="20"/>
  <c r="DJ12" i="20"/>
  <c r="B4" i="20"/>
  <c r="B6" i="20"/>
  <c r="B8" i="20"/>
  <c r="B10" i="20"/>
  <c r="B11" i="20"/>
  <c r="B12" i="20"/>
  <c r="B13" i="20"/>
  <c r="B15" i="20"/>
  <c r="B16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B22" i="20"/>
  <c r="BB21" i="20"/>
  <c r="BB20" i="20"/>
  <c r="BB19" i="20"/>
  <c r="BB18" i="20"/>
  <c r="ET17" i="20"/>
  <c r="BB17" i="20"/>
  <c r="ET16" i="20"/>
  <c r="BB16" i="20"/>
  <c r="EX15" i="20"/>
  <c r="ET15" i="20"/>
  <c r="BB15" i="20"/>
  <c r="EX14" i="20"/>
  <c r="ET14" i="20"/>
  <c r="CL14" i="20"/>
  <c r="BB14" i="20"/>
  <c r="EX13" i="20"/>
  <c r="ET13" i="20"/>
  <c r="CL13" i="20"/>
  <c r="BB13" i="20"/>
  <c r="EX12" i="20"/>
  <c r="ET12" i="20"/>
  <c r="CL12" i="20"/>
  <c r="BB12" i="20"/>
  <c r="EX11" i="20"/>
  <c r="ET11" i="20"/>
  <c r="DF11" i="20"/>
  <c r="CL11" i="20"/>
  <c r="BB11" i="20"/>
  <c r="EX10" i="20"/>
  <c r="ET10" i="20"/>
  <c r="DF10" i="20"/>
  <c r="CL10" i="20"/>
  <c r="CD10" i="20"/>
  <c r="BN10" i="20"/>
  <c r="BB10" i="20"/>
  <c r="EX9" i="20"/>
  <c r="ET9" i="20"/>
  <c r="DF9" i="20"/>
  <c r="CL9" i="20"/>
  <c r="CD9" i="20"/>
  <c r="BN9" i="20"/>
  <c r="BB9" i="20"/>
  <c r="EX8" i="20"/>
  <c r="ET8" i="20"/>
  <c r="DF8" i="20"/>
  <c r="CL8" i="20"/>
  <c r="CD8" i="20"/>
  <c r="BN8" i="20"/>
  <c r="BB8" i="20"/>
  <c r="EX7" i="20"/>
  <c r="ET7" i="20"/>
  <c r="DF7" i="20"/>
  <c r="CL7" i="20"/>
  <c r="CD7" i="20"/>
  <c r="BN7" i="20"/>
  <c r="BB7" i="20"/>
  <c r="EX6" i="20"/>
  <c r="ET6" i="20"/>
  <c r="DF6" i="20"/>
  <c r="CL6" i="20"/>
  <c r="CD6" i="20"/>
  <c r="BN6" i="20"/>
  <c r="BB6" i="20"/>
  <c r="EX5" i="20"/>
  <c r="ET5" i="20"/>
  <c r="DF5" i="20"/>
  <c r="CL5" i="20"/>
  <c r="CH5" i="20"/>
  <c r="CD5" i="20"/>
  <c r="BN5" i="20"/>
  <c r="BB5" i="20"/>
  <c r="EX4" i="20"/>
  <c r="ET4" i="20"/>
  <c r="DF4" i="20"/>
  <c r="CL4" i="20"/>
  <c r="CH4" i="20"/>
  <c r="CD4" i="20"/>
  <c r="BN4" i="20"/>
  <c r="BB4" i="20"/>
  <c r="EX3" i="20"/>
  <c r="ET3" i="20"/>
  <c r="DF3" i="20"/>
  <c r="CL3" i="20"/>
  <c r="CH3" i="20"/>
  <c r="CD3" i="20"/>
  <c r="BN3" i="20"/>
  <c r="BB3" i="20"/>
  <c r="AH3" i="20"/>
  <c r="EX2" i="20"/>
  <c r="ET2" i="20"/>
  <c r="EH2" i="20"/>
  <c r="DF2" i="20"/>
  <c r="CL2" i="20"/>
  <c r="CH2" i="20"/>
  <c r="CD2" i="20"/>
  <c r="BR2" i="20"/>
  <c r="BN2" i="20"/>
  <c r="AH2" i="20"/>
  <c r="K41" i="19"/>
  <c r="E14" i="19"/>
  <c r="I12" i="1"/>
  <c r="I11" i="1"/>
  <c r="G12" i="1"/>
  <c r="G11" i="1"/>
  <c r="CD3" i="5"/>
  <c r="CD4" i="5"/>
  <c r="CD2" i="5"/>
  <c r="H10" i="1"/>
  <c r="G10" i="1"/>
  <c r="H9" i="1"/>
  <c r="I9" i="1"/>
  <c r="EP3" i="17"/>
  <c r="EP4" i="17"/>
  <c r="EP5" i="17"/>
  <c r="EP6" i="17"/>
  <c r="EP7" i="17"/>
  <c r="EP8" i="17"/>
  <c r="EP9" i="17"/>
  <c r="EP10" i="17"/>
  <c r="EP11" i="17"/>
  <c r="EP12" i="17"/>
  <c r="EP2" i="17"/>
  <c r="BF3" i="17"/>
  <c r="BF4" i="17"/>
  <c r="BF5" i="17"/>
  <c r="BF6" i="17"/>
  <c r="BF7" i="17"/>
  <c r="BF8" i="17"/>
  <c r="F34" i="18"/>
  <c r="F32" i="18"/>
  <c r="F33" i="18"/>
  <c r="F37" i="18"/>
  <c r="F31" i="18"/>
  <c r="F39" i="18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2" i="17"/>
  <c r="K38" i="18"/>
  <c r="J39" i="18"/>
  <c r="F22" i="18"/>
  <c r="F23" i="18"/>
  <c r="F24" i="18"/>
  <c r="F25" i="18"/>
  <c r="F26" i="18"/>
  <c r="F27" i="18"/>
  <c r="F28" i="18"/>
  <c r="F29" i="18"/>
  <c r="F21" i="18"/>
  <c r="EX15" i="17"/>
  <c r="EX3" i="17"/>
  <c r="EX4" i="17"/>
  <c r="EX5" i="17"/>
  <c r="EX6" i="17"/>
  <c r="EX8" i="17"/>
  <c r="EX9" i="17"/>
  <c r="EX10" i="17"/>
  <c r="EX12" i="17"/>
  <c r="EX13" i="17"/>
  <c r="EX14" i="17"/>
  <c r="EX2" i="17"/>
  <c r="F10" i="18"/>
  <c r="F9" i="18"/>
  <c r="AP3" i="17"/>
  <c r="AP4" i="17"/>
  <c r="AP5" i="17"/>
  <c r="AP6" i="17"/>
  <c r="AP7" i="17"/>
  <c r="AP8" i="17"/>
  <c r="AP2" i="17"/>
  <c r="AT2" i="17"/>
  <c r="AL3" i="17"/>
  <c r="AL4" i="17"/>
  <c r="AL5" i="17"/>
  <c r="AL6" i="17"/>
  <c r="AL7" i="17"/>
  <c r="AL8" i="17"/>
  <c r="AL9" i="17"/>
  <c r="AL10" i="17"/>
  <c r="AL11" i="17"/>
  <c r="AL12" i="17"/>
  <c r="AL13" i="17"/>
  <c r="AL14" i="17"/>
  <c r="AL15" i="17"/>
  <c r="AL2" i="17"/>
  <c r="EL3" i="17"/>
  <c r="EL4" i="17"/>
  <c r="EL5" i="17"/>
  <c r="EL6" i="17"/>
  <c r="EL7" i="17"/>
  <c r="EL8" i="17"/>
  <c r="EL2" i="17"/>
  <c r="ET2" i="17"/>
  <c r="Z2" i="17"/>
  <c r="DF3" i="17"/>
  <c r="DF4" i="17"/>
  <c r="DF5" i="17"/>
  <c r="DF6" i="17"/>
  <c r="DF7" i="17"/>
  <c r="DF8" i="17"/>
  <c r="DF9" i="17"/>
  <c r="DF10" i="17"/>
  <c r="DF11" i="17"/>
  <c r="DF2" i="17"/>
  <c r="R3" i="17"/>
  <c r="R4" i="17"/>
  <c r="R5" i="17"/>
  <c r="R6" i="17"/>
  <c r="R2" i="17"/>
  <c r="ED3" i="17"/>
  <c r="ED4" i="17"/>
  <c r="ED5" i="17"/>
  <c r="ED6" i="17"/>
  <c r="ED7" i="17"/>
  <c r="ED8" i="17"/>
  <c r="ED9" i="17"/>
  <c r="ED10" i="17"/>
  <c r="ED2" i="17"/>
  <c r="DZ2" i="17"/>
  <c r="DZ3" i="17"/>
  <c r="DZ4" i="17"/>
  <c r="DZ5" i="17"/>
  <c r="DZ6" i="17"/>
  <c r="DZ7" i="17"/>
  <c r="DZ8" i="17"/>
  <c r="DZ9" i="17"/>
  <c r="DZ10" i="17"/>
  <c r="DZ11" i="17"/>
  <c r="DZ12" i="17"/>
  <c r="DV3" i="17"/>
  <c r="DV4" i="17"/>
  <c r="DV5" i="17"/>
  <c r="DV6" i="17"/>
  <c r="DV8" i="17"/>
  <c r="DV9" i="17"/>
  <c r="DV10" i="17"/>
  <c r="DV11" i="17"/>
  <c r="DV12" i="17"/>
  <c r="DR4" i="17"/>
  <c r="DR5" i="17"/>
  <c r="DR6" i="17"/>
  <c r="DR7" i="17"/>
  <c r="DR8" i="17"/>
  <c r="DR9" i="17"/>
  <c r="DR10" i="17"/>
  <c r="DR2" i="17"/>
  <c r="DN2" i="17"/>
  <c r="DN3" i="17"/>
  <c r="DN4" i="17"/>
  <c r="DN5" i="17"/>
  <c r="DN6" i="17"/>
  <c r="DN7" i="17"/>
  <c r="DN8" i="17"/>
  <c r="DN9" i="17"/>
  <c r="DJ3" i="17"/>
  <c r="DJ4" i="17"/>
  <c r="DJ5" i="17"/>
  <c r="DJ6" i="17"/>
  <c r="DJ7" i="17"/>
  <c r="DJ8" i="17"/>
  <c r="DB2" i="17"/>
  <c r="CX3" i="17"/>
  <c r="CX4" i="17"/>
  <c r="CX5" i="17"/>
  <c r="CX6" i="17"/>
  <c r="CX7" i="17"/>
  <c r="CX8" i="17"/>
  <c r="CX9" i="17"/>
  <c r="CX10" i="17"/>
  <c r="CX11" i="17"/>
  <c r="CX2" i="17"/>
  <c r="CP2" i="17"/>
  <c r="CT3" i="17"/>
  <c r="CT4" i="17"/>
  <c r="CT5" i="17"/>
  <c r="CT6" i="17"/>
  <c r="CT7" i="17"/>
  <c r="CT8" i="17"/>
  <c r="CT9" i="17"/>
  <c r="CT10" i="17"/>
  <c r="CT2" i="17"/>
  <c r="CD3" i="17"/>
  <c r="CD4" i="17"/>
  <c r="CD5" i="17"/>
  <c r="CD6" i="17"/>
  <c r="CD7" i="17"/>
  <c r="CD8" i="17"/>
  <c r="CD9" i="17"/>
  <c r="CD10" i="17"/>
  <c r="CD2" i="17"/>
  <c r="BN2" i="17"/>
  <c r="BZ3" i="17"/>
  <c r="BZ2" i="17"/>
  <c r="BJ2" i="17"/>
  <c r="BV2" i="17"/>
  <c r="BN3" i="17"/>
  <c r="BN4" i="17"/>
  <c r="BN5" i="17"/>
  <c r="BN6" i="17"/>
  <c r="BN7" i="17"/>
  <c r="BN8" i="17"/>
  <c r="BN9" i="17"/>
  <c r="BN10" i="17"/>
  <c r="BJ3" i="17"/>
  <c r="BJ4" i="17"/>
  <c r="AX2" i="17"/>
  <c r="BV3" i="17"/>
  <c r="BV4" i="17"/>
  <c r="BV5" i="17"/>
  <c r="BV6" i="17"/>
  <c r="BV7" i="17"/>
  <c r="CH3" i="17"/>
  <c r="CH4" i="17"/>
  <c r="CH5" i="17"/>
  <c r="CP3" i="17"/>
  <c r="CP4" i="17"/>
  <c r="CP5" i="17"/>
  <c r="CP6" i="17"/>
  <c r="CP7" i="17"/>
  <c r="CP8" i="17"/>
  <c r="CP9" i="17"/>
  <c r="CP10" i="17"/>
  <c r="CP11" i="17"/>
  <c r="CH2" i="17"/>
  <c r="BF2" i="17"/>
  <c r="AX3" i="17"/>
  <c r="AX4" i="17"/>
  <c r="AX5" i="17"/>
  <c r="AX6" i="17"/>
  <c r="AX7" i="17"/>
  <c r="AX8" i="17"/>
  <c r="AX9" i="17"/>
  <c r="AX10" i="17"/>
  <c r="AX11" i="17"/>
  <c r="AX12" i="17"/>
  <c r="AX13" i="17"/>
  <c r="AX14" i="17"/>
  <c r="AX15" i="17"/>
  <c r="AX16" i="17"/>
  <c r="AX17" i="17"/>
  <c r="AX18" i="17"/>
  <c r="AX19" i="17"/>
  <c r="AX20" i="17"/>
  <c r="AX21" i="17"/>
  <c r="AX22" i="17"/>
  <c r="AT3" i="17"/>
  <c r="AT4" i="17"/>
  <c r="AT5" i="17"/>
  <c r="AT6" i="17"/>
  <c r="J25" i="18"/>
  <c r="J26" i="18"/>
  <c r="J27" i="18"/>
  <c r="J28" i="18"/>
  <c r="J29" i="18"/>
  <c r="J18" i="18"/>
  <c r="J15" i="18"/>
  <c r="J16" i="18"/>
  <c r="J17" i="18"/>
  <c r="Z3" i="17"/>
  <c r="Z4" i="17"/>
  <c r="Z5" i="17"/>
  <c r="Z6" i="17"/>
  <c r="Z7" i="17"/>
  <c r="Z8" i="17"/>
  <c r="Z9" i="17"/>
  <c r="DB3" i="17"/>
  <c r="DB4" i="17"/>
  <c r="DB5" i="17"/>
  <c r="DB6" i="17"/>
  <c r="DB7" i="17"/>
  <c r="DB8" i="17"/>
  <c r="DB9" i="17"/>
  <c r="DB10" i="17"/>
  <c r="DB11" i="17"/>
  <c r="DB12" i="17"/>
  <c r="B4" i="17"/>
  <c r="B5" i="17"/>
  <c r="B7" i="17"/>
  <c r="B9" i="17"/>
  <c r="B11" i="17"/>
  <c r="B12" i="17"/>
  <c r="B13" i="17"/>
  <c r="B14" i="17"/>
  <c r="B16" i="17"/>
  <c r="B17" i="17"/>
  <c r="F3" i="17"/>
  <c r="ET3" i="17"/>
  <c r="ET4" i="17"/>
  <c r="ET5" i="17"/>
  <c r="ET6" i="17"/>
  <c r="ET7" i="17"/>
  <c r="ET8" i="17"/>
  <c r="ET9" i="17"/>
  <c r="ET10" i="17"/>
  <c r="ET11" i="17"/>
  <c r="ET12" i="17"/>
  <c r="ET13" i="17"/>
  <c r="ET14" i="17"/>
  <c r="ET15" i="17"/>
  <c r="ET16" i="17"/>
  <c r="ET17" i="17"/>
  <c r="F12" i="18"/>
  <c r="E21" i="18"/>
  <c r="BB22" i="17"/>
  <c r="BB21" i="17"/>
  <c r="BB20" i="17"/>
  <c r="BB19" i="17"/>
  <c r="BB18" i="17"/>
  <c r="BB17" i="17"/>
  <c r="BB16" i="17"/>
  <c r="BB15" i="17"/>
  <c r="CL14" i="17"/>
  <c r="BB14" i="17"/>
  <c r="CL13" i="17"/>
  <c r="BB13" i="17"/>
  <c r="CL12" i="17"/>
  <c r="BB12" i="17"/>
  <c r="CL11" i="17"/>
  <c r="BB11" i="17"/>
  <c r="CL10" i="17"/>
  <c r="BB10" i="17"/>
  <c r="CL9" i="17"/>
  <c r="BB9" i="17"/>
  <c r="CL8" i="17"/>
  <c r="BB8" i="17"/>
  <c r="CL7" i="17"/>
  <c r="BB7" i="17"/>
  <c r="CL6" i="17"/>
  <c r="BB6" i="17"/>
  <c r="CL5" i="17"/>
  <c r="BB5" i="17"/>
  <c r="J5" i="17"/>
  <c r="CL4" i="17"/>
  <c r="BB4" i="17"/>
  <c r="J4" i="17"/>
  <c r="CL3" i="17"/>
  <c r="BB3" i="17"/>
  <c r="AH3" i="17"/>
  <c r="J3" i="17"/>
  <c r="EH2" i="17"/>
  <c r="CL2" i="17"/>
  <c r="BR2" i="17"/>
  <c r="BB2" i="17"/>
  <c r="AH2" i="17"/>
  <c r="J2" i="17"/>
  <c r="AF17" i="17"/>
  <c r="P20" i="17"/>
  <c r="AF14" i="17"/>
  <c r="P29" i="17"/>
  <c r="P26" i="17"/>
  <c r="P23" i="17"/>
  <c r="P32" i="17"/>
  <c r="E9" i="17"/>
  <c r="F9" i="17"/>
  <c r="E5" i="17"/>
  <c r="F5" i="17"/>
  <c r="E6" i="17"/>
  <c r="F6" i="17"/>
  <c r="E10" i="17"/>
  <c r="F10" i="17"/>
  <c r="E15" i="17"/>
  <c r="F15" i="17"/>
  <c r="E13" i="17"/>
  <c r="F13" i="17"/>
  <c r="E4" i="17"/>
  <c r="F4" i="17"/>
  <c r="E8" i="17"/>
  <c r="F8" i="17"/>
  <c r="E12" i="17"/>
  <c r="F12" i="17"/>
  <c r="E2" i="17"/>
  <c r="F2" i="17"/>
  <c r="E7" i="17"/>
  <c r="F7" i="17"/>
  <c r="E11" i="17"/>
  <c r="F11" i="17"/>
  <c r="A10" i="17"/>
  <c r="B10" i="17"/>
  <c r="A6" i="17"/>
  <c r="A19" i="17"/>
  <c r="B19" i="17"/>
  <c r="A8" i="17"/>
  <c r="B8" i="17"/>
  <c r="A18" i="17"/>
  <c r="B18" i="17"/>
  <c r="A2" i="17"/>
  <c r="A3" i="17"/>
  <c r="F18" i="19"/>
  <c r="DG7" i="20"/>
  <c r="EY9" i="20"/>
  <c r="BO9" i="20"/>
  <c r="CE2" i="20"/>
  <c r="EU8" i="20"/>
  <c r="CI5" i="20"/>
  <c r="DG2" i="20"/>
  <c r="CE7" i="20"/>
  <c r="AQ6" i="17"/>
  <c r="CI2" i="20"/>
  <c r="EY2" i="20"/>
  <c r="AQ7" i="17"/>
  <c r="AQ3" i="17"/>
  <c r="AQ8" i="17"/>
  <c r="AQ4" i="17"/>
  <c r="EU2" i="20"/>
  <c r="AQ2" i="17"/>
  <c r="AQ5" i="17"/>
  <c r="H10" i="19"/>
  <c r="H9" i="19"/>
  <c r="K9" i="19"/>
  <c r="H12" i="19"/>
  <c r="K12" i="19"/>
  <c r="F14" i="19"/>
  <c r="H11" i="19"/>
  <c r="K11" i="19"/>
  <c r="F17" i="19"/>
  <c r="F21" i="19"/>
  <c r="F16" i="19"/>
  <c r="F20" i="19"/>
  <c r="F15" i="19"/>
  <c r="F19" i="19"/>
  <c r="EU6" i="20"/>
  <c r="EU7" i="20"/>
  <c r="BO10" i="20"/>
  <c r="EY10" i="20"/>
  <c r="EU11" i="20"/>
  <c r="EU12" i="20"/>
  <c r="EU13" i="20"/>
  <c r="EU14" i="20"/>
  <c r="EY15" i="20"/>
  <c r="EU16" i="20"/>
  <c r="EU17" i="20"/>
  <c r="BO3" i="20"/>
  <c r="CI3" i="20"/>
  <c r="DG3" i="20"/>
  <c r="EY3" i="20"/>
  <c r="BO4" i="20"/>
  <c r="CE4" i="20"/>
  <c r="EU4" i="20"/>
  <c r="BO5" i="20"/>
  <c r="CE5" i="20"/>
  <c r="EU5" i="20"/>
  <c r="CE8" i="20"/>
  <c r="DG8" i="20"/>
  <c r="EY8" i="20"/>
  <c r="CE9" i="20"/>
  <c r="DG9" i="20"/>
  <c r="EU9" i="20"/>
  <c r="BO6" i="20"/>
  <c r="CE6" i="20"/>
  <c r="DG6" i="20"/>
  <c r="EY6" i="20"/>
  <c r="EY7" i="20"/>
  <c r="CE10" i="20"/>
  <c r="DG10" i="20"/>
  <c r="EU10" i="20"/>
  <c r="DG11" i="20"/>
  <c r="EY11" i="20"/>
  <c r="EY12" i="20"/>
  <c r="EY13" i="20"/>
  <c r="EY14" i="20"/>
  <c r="EU15" i="20"/>
  <c r="BO2" i="20"/>
  <c r="CE3" i="20"/>
  <c r="EU3" i="20"/>
  <c r="CI4" i="20"/>
  <c r="DG4" i="20"/>
  <c r="EY4" i="20"/>
  <c r="DG5" i="20"/>
  <c r="EY5" i="20"/>
  <c r="BO7" i="20"/>
  <c r="BO8" i="20"/>
  <c r="I10" i="1"/>
  <c r="CE2" i="5"/>
  <c r="CE4" i="5"/>
  <c r="CE3" i="5"/>
  <c r="G9" i="1"/>
  <c r="EQ2" i="17"/>
  <c r="BG6" i="17"/>
  <c r="BG2" i="17"/>
  <c r="BG7" i="17"/>
  <c r="BG3" i="17"/>
  <c r="BG8" i="17"/>
  <c r="BG4" i="17"/>
  <c r="BG5" i="17"/>
  <c r="W12" i="17"/>
  <c r="W2" i="17"/>
  <c r="F13" i="18"/>
  <c r="EQ5" i="17"/>
  <c r="EQ10" i="17"/>
  <c r="EQ6" i="17"/>
  <c r="EQ12" i="17"/>
  <c r="EQ11" i="17"/>
  <c r="EQ7" i="17"/>
  <c r="EQ3" i="17"/>
  <c r="EQ8" i="17"/>
  <c r="EQ4" i="17"/>
  <c r="EQ9" i="17"/>
  <c r="AM2" i="17"/>
  <c r="EM6" i="17"/>
  <c r="EM7" i="17"/>
  <c r="EM3" i="17"/>
  <c r="EM4" i="17"/>
  <c r="EM2" i="17"/>
  <c r="EM5" i="17"/>
  <c r="EM8" i="17"/>
  <c r="S6" i="17"/>
  <c r="DG2" i="17"/>
  <c r="S5" i="17"/>
  <c r="S2" i="17"/>
  <c r="S3" i="17"/>
  <c r="DG11" i="17"/>
  <c r="DG5" i="17"/>
  <c r="S4" i="17"/>
  <c r="F15" i="18"/>
  <c r="EA10" i="17"/>
  <c r="EE6" i="17"/>
  <c r="DO9" i="17"/>
  <c r="EA7" i="17"/>
  <c r="EA6" i="17"/>
  <c r="EE2" i="17"/>
  <c r="EE7" i="17"/>
  <c r="EE3" i="17"/>
  <c r="EE8" i="17"/>
  <c r="EE4" i="17"/>
  <c r="DO2" i="17"/>
  <c r="EA5" i="17"/>
  <c r="EE9" i="17"/>
  <c r="EE5" i="17"/>
  <c r="EA11" i="17"/>
  <c r="EA3" i="17"/>
  <c r="EE10" i="17"/>
  <c r="EA12" i="17"/>
  <c r="EA8" i="17"/>
  <c r="EA4" i="17"/>
  <c r="EA2" i="17"/>
  <c r="EA9" i="17"/>
  <c r="DO8" i="17"/>
  <c r="DO3" i="17"/>
  <c r="DO5" i="17"/>
  <c r="DO7" i="17"/>
  <c r="DO4" i="17"/>
  <c r="DO6" i="17"/>
  <c r="CY6" i="17"/>
  <c r="CY5" i="17"/>
  <c r="CY9" i="17"/>
  <c r="CY4" i="17"/>
  <c r="CY10" i="17"/>
  <c r="CY11" i="17"/>
  <c r="CY7" i="17"/>
  <c r="CY3" i="17"/>
  <c r="CY2" i="17"/>
  <c r="CY8" i="17"/>
  <c r="CE6" i="17"/>
  <c r="CA3" i="17"/>
  <c r="CU6" i="17"/>
  <c r="CU2" i="17"/>
  <c r="CU7" i="17"/>
  <c r="CU3" i="17"/>
  <c r="CU9" i="17"/>
  <c r="CU5" i="17"/>
  <c r="CU8" i="17"/>
  <c r="CU4" i="17"/>
  <c r="CU10" i="17"/>
  <c r="CA2" i="17"/>
  <c r="CE2" i="17"/>
  <c r="CE7" i="17"/>
  <c r="CE3" i="17"/>
  <c r="CE8" i="17"/>
  <c r="CE4" i="17"/>
  <c r="CE9" i="17"/>
  <c r="CE5" i="17"/>
  <c r="CE10" i="17"/>
  <c r="BO6" i="17"/>
  <c r="BO5" i="17"/>
  <c r="BO9" i="17"/>
  <c r="BO2" i="17"/>
  <c r="BO4" i="17"/>
  <c r="BK2" i="17"/>
  <c r="CI5" i="17"/>
  <c r="BO10" i="17"/>
  <c r="BO7" i="17"/>
  <c r="BO3" i="17"/>
  <c r="BO8" i="17"/>
  <c r="CQ2" i="17"/>
  <c r="DG10" i="17"/>
  <c r="DG6" i="17"/>
  <c r="DG7" i="17"/>
  <c r="DG3" i="17"/>
  <c r="W4" i="17"/>
  <c r="DG8" i="17"/>
  <c r="DG4" i="17"/>
  <c r="DG9" i="17"/>
  <c r="AU6" i="17"/>
  <c r="AY2" i="17"/>
  <c r="AY3" i="17"/>
  <c r="AY22" i="17"/>
  <c r="DC6" i="17"/>
  <c r="W8" i="17"/>
  <c r="W16" i="17"/>
  <c r="W7" i="17"/>
  <c r="W11" i="17"/>
  <c r="W15" i="17"/>
  <c r="W3" i="17"/>
  <c r="W14" i="17"/>
  <c r="W10" i="17"/>
  <c r="W6" i="17"/>
  <c r="DC9" i="17"/>
  <c r="DC2" i="17"/>
  <c r="W17" i="17"/>
  <c r="W13" i="17"/>
  <c r="W9" i="17"/>
  <c r="W5" i="17"/>
  <c r="DC5" i="17"/>
  <c r="DC4" i="17"/>
  <c r="DC11" i="17"/>
  <c r="DC7" i="17"/>
  <c r="DC3" i="17"/>
  <c r="DC10" i="17"/>
  <c r="DC12" i="17"/>
  <c r="DC8" i="17"/>
  <c r="EU17" i="17"/>
  <c r="EU13" i="17"/>
  <c r="EU9" i="17"/>
  <c r="EU5" i="17"/>
  <c r="EU10" i="17"/>
  <c r="EU14" i="17"/>
  <c r="EU6" i="17"/>
  <c r="EU4" i="17"/>
  <c r="EU8" i="17"/>
  <c r="EU16" i="17"/>
  <c r="EU3" i="17"/>
  <c r="EU2" i="17"/>
  <c r="EU12" i="17"/>
  <c r="EU15" i="17"/>
  <c r="EU11" i="17"/>
  <c r="EU7" i="17"/>
  <c r="F18" i="18"/>
  <c r="F14" i="18"/>
  <c r="F19" i="18"/>
  <c r="F17" i="18"/>
  <c r="F16" i="18"/>
  <c r="BW5" i="17"/>
  <c r="CQ11" i="17"/>
  <c r="AM13" i="17"/>
  <c r="AU2" i="17"/>
  <c r="AY7" i="17"/>
  <c r="AU7" i="17"/>
  <c r="CQ7" i="17"/>
  <c r="BW3" i="17"/>
  <c r="CI3" i="17"/>
  <c r="CQ3" i="17"/>
  <c r="AM4" i="17"/>
  <c r="AU4" i="17"/>
  <c r="BK4" i="17"/>
  <c r="AM5" i="17"/>
  <c r="AU5" i="17"/>
  <c r="AY6" i="17"/>
  <c r="BW6" i="17"/>
  <c r="AM7" i="17"/>
  <c r="AM8" i="17"/>
  <c r="AY8" i="17"/>
  <c r="AY9" i="17"/>
  <c r="AY10" i="17"/>
  <c r="AY11" i="17"/>
  <c r="AY12" i="17"/>
  <c r="AY13" i="17"/>
  <c r="AM14" i="17"/>
  <c r="AM15" i="17"/>
  <c r="BW7" i="17"/>
  <c r="BW2" i="17"/>
  <c r="CI2" i="17"/>
  <c r="AM3" i="17"/>
  <c r="AU3" i="17"/>
  <c r="BK3" i="17"/>
  <c r="AY4" i="17"/>
  <c r="BW4" i="17"/>
  <c r="CI4" i="17"/>
  <c r="CQ4" i="17"/>
  <c r="AY5" i="17"/>
  <c r="CQ5" i="17"/>
  <c r="AM6" i="17"/>
  <c r="CQ6" i="17"/>
  <c r="CQ8" i="17"/>
  <c r="AM9" i="17"/>
  <c r="CQ9" i="17"/>
  <c r="AM10" i="17"/>
  <c r="CQ10" i="17"/>
  <c r="AM11" i="17"/>
  <c r="AM12" i="17"/>
  <c r="AY14" i="17"/>
  <c r="AY15" i="17"/>
  <c r="AY16" i="17"/>
  <c r="AY17" i="17"/>
  <c r="AY18" i="17"/>
  <c r="AY19" i="17"/>
  <c r="AY20" i="17"/>
  <c r="AY21" i="17"/>
  <c r="J24" i="18"/>
  <c r="J23" i="18"/>
  <c r="M22" i="18"/>
  <c r="J22" i="18"/>
  <c r="J21" i="18"/>
  <c r="J19" i="18"/>
  <c r="J14" i="18"/>
  <c r="J13" i="18"/>
  <c r="J12" i="18"/>
  <c r="E12" i="18"/>
  <c r="J10" i="18"/>
  <c r="J9" i="18"/>
  <c r="F11" i="1"/>
  <c r="M4" i="17"/>
  <c r="N4" i="17"/>
  <c r="AC2" i="17"/>
  <c r="AD2" i="17"/>
  <c r="AC3" i="17"/>
  <c r="AD3" i="17"/>
  <c r="M13" i="17"/>
  <c r="N13" i="17"/>
  <c r="M5" i="17"/>
  <c r="N5" i="17"/>
  <c r="AC4" i="17"/>
  <c r="AD4" i="17"/>
  <c r="AC5" i="17"/>
  <c r="AD5" i="17"/>
  <c r="AC6" i="17"/>
  <c r="AD6" i="17"/>
  <c r="M14" i="17"/>
  <c r="N14" i="17"/>
  <c r="M15" i="17"/>
  <c r="N15" i="17"/>
  <c r="M16" i="17"/>
  <c r="N16" i="17"/>
  <c r="M17" i="17"/>
  <c r="N17" i="17"/>
  <c r="M6" i="17"/>
  <c r="N6" i="17"/>
  <c r="M7" i="17"/>
  <c r="N7" i="17"/>
  <c r="M3" i="17"/>
  <c r="N3" i="17"/>
  <c r="M8" i="17"/>
  <c r="N8" i="17"/>
  <c r="M9" i="17"/>
  <c r="N9" i="17"/>
  <c r="M10" i="17"/>
  <c r="N10" i="17"/>
  <c r="M11" i="17"/>
  <c r="N11" i="17"/>
  <c r="M12" i="17"/>
  <c r="N12" i="17"/>
  <c r="M2" i="17"/>
  <c r="N2" i="17"/>
  <c r="G6" i="17"/>
  <c r="G3" i="17"/>
  <c r="G13" i="17"/>
  <c r="G10" i="17"/>
  <c r="G5" i="17"/>
  <c r="G11" i="17"/>
  <c r="G8" i="17"/>
  <c r="G7" i="17"/>
  <c r="G14" i="17"/>
  <c r="G4" i="17"/>
  <c r="G2" i="17"/>
  <c r="G9" i="17"/>
  <c r="G12" i="17"/>
  <c r="G15" i="17"/>
  <c r="B2" i="17"/>
  <c r="BZ2" i="5"/>
  <c r="CA2" i="5"/>
  <c r="O14" i="1"/>
  <c r="F12" i="1"/>
  <c r="F2" i="5"/>
  <c r="I14" i="8"/>
  <c r="I15" i="8"/>
  <c r="J15" i="8"/>
  <c r="I6" i="8"/>
  <c r="J6" i="8"/>
  <c r="I17" i="8"/>
  <c r="E17" i="9"/>
  <c r="N3" i="5"/>
  <c r="N4" i="5"/>
  <c r="N5" i="5"/>
  <c r="N6" i="5"/>
  <c r="N7" i="5"/>
  <c r="N8" i="5"/>
  <c r="N2" i="5"/>
  <c r="BV2" i="5"/>
  <c r="BW2" i="5"/>
  <c r="BF3" i="5"/>
  <c r="K10" i="1"/>
  <c r="L10" i="1"/>
  <c r="K11" i="1"/>
  <c r="L11" i="1"/>
  <c r="K12" i="1"/>
  <c r="L12" i="1"/>
  <c r="K9" i="1"/>
  <c r="J26" i="9"/>
  <c r="A55" i="12"/>
  <c r="BN3" i="5"/>
  <c r="BN2" i="5"/>
  <c r="E12" i="9"/>
  <c r="G13" i="9"/>
  <c r="H13" i="9"/>
  <c r="A54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41" i="12"/>
  <c r="A37" i="12"/>
  <c r="A38" i="12"/>
  <c r="A39" i="12"/>
  <c r="A36" i="12"/>
  <c r="BR6" i="5"/>
  <c r="F13" i="11"/>
  <c r="F8" i="11"/>
  <c r="F9" i="11"/>
  <c r="F10" i="11"/>
  <c r="F11" i="11"/>
  <c r="F12" i="11"/>
  <c r="H23" i="9"/>
  <c r="F25" i="9"/>
  <c r="F24" i="9"/>
  <c r="F23" i="9"/>
  <c r="H21" i="9"/>
  <c r="H20" i="9"/>
  <c r="H19" i="9"/>
  <c r="H18" i="9"/>
  <c r="H17" i="9"/>
  <c r="F21" i="9"/>
  <c r="F20" i="9"/>
  <c r="F19" i="9"/>
  <c r="F18" i="9"/>
  <c r="F17" i="9"/>
  <c r="G15" i="9"/>
  <c r="F15" i="9"/>
  <c r="G14" i="9"/>
  <c r="F14" i="9"/>
  <c r="G12" i="9"/>
  <c r="H12" i="9"/>
  <c r="K12" i="9"/>
  <c r="G10" i="9"/>
  <c r="H10" i="9"/>
  <c r="G9" i="9"/>
  <c r="F9" i="9"/>
  <c r="H26" i="9"/>
  <c r="G34" i="9"/>
  <c r="G35" i="9"/>
  <c r="G36" i="9"/>
  <c r="G37" i="9"/>
  <c r="G39" i="9"/>
  <c r="M18" i="9"/>
  <c r="B2" i="5"/>
  <c r="J2" i="5"/>
  <c r="K2" i="5"/>
  <c r="R2" i="5"/>
  <c r="V2" i="5"/>
  <c r="Z2" i="5"/>
  <c r="AH2" i="5"/>
  <c r="AP2" i="5"/>
  <c r="AT2" i="5"/>
  <c r="AX2" i="5"/>
  <c r="BB2" i="5"/>
  <c r="BF2" i="5"/>
  <c r="BJ2" i="5"/>
  <c r="B3" i="5"/>
  <c r="F3" i="5"/>
  <c r="R3" i="5"/>
  <c r="V3" i="5"/>
  <c r="Z3" i="5"/>
  <c r="AD2" i="5"/>
  <c r="AH3" i="5"/>
  <c r="AP3" i="5"/>
  <c r="AT3" i="5"/>
  <c r="AX3" i="5"/>
  <c r="BB3" i="5"/>
  <c r="BJ3" i="5"/>
  <c r="B4" i="5"/>
  <c r="F4" i="5"/>
  <c r="R4" i="5"/>
  <c r="V4" i="5"/>
  <c r="Z4" i="5"/>
  <c r="AD3" i="5"/>
  <c r="AP4" i="5"/>
  <c r="AT4" i="5"/>
  <c r="AX4" i="5"/>
  <c r="BB4" i="5"/>
  <c r="BJ4" i="5"/>
  <c r="B5" i="5"/>
  <c r="F5" i="5"/>
  <c r="R5" i="5"/>
  <c r="V5" i="5"/>
  <c r="Z5" i="5"/>
  <c r="AD4" i="5"/>
  <c r="AP5" i="5"/>
  <c r="AT5" i="5"/>
  <c r="AX5" i="5"/>
  <c r="BB5" i="5"/>
  <c r="F6" i="5"/>
  <c r="R6" i="5"/>
  <c r="V6" i="5"/>
  <c r="Z6" i="5"/>
  <c r="AD5" i="5"/>
  <c r="AP6" i="5"/>
  <c r="AT6" i="5"/>
  <c r="F7" i="5"/>
  <c r="V7" i="5"/>
  <c r="Z7" i="5"/>
  <c r="AD6" i="5"/>
  <c r="F2" i="11"/>
  <c r="J2" i="11"/>
  <c r="N2" i="11"/>
  <c r="R2" i="11"/>
  <c r="V2" i="11"/>
  <c r="Z2" i="11"/>
  <c r="AD2" i="11"/>
  <c r="AH2" i="11"/>
  <c r="AL2" i="11"/>
  <c r="AP2" i="11"/>
  <c r="AT2" i="11"/>
  <c r="AX2" i="11"/>
  <c r="BB2" i="11"/>
  <c r="BF2" i="11"/>
  <c r="BJ2" i="11"/>
  <c r="BN2" i="11"/>
  <c r="BR2" i="11"/>
  <c r="BV2" i="11"/>
  <c r="BZ2" i="11"/>
  <c r="CD2" i="11"/>
  <c r="CH2" i="11"/>
  <c r="CL2" i="11"/>
  <c r="CP2" i="11"/>
  <c r="CT2" i="11"/>
  <c r="CX2" i="11"/>
  <c r="DB2" i="11"/>
  <c r="DF2" i="11"/>
  <c r="DN2" i="11"/>
  <c r="DR2" i="11"/>
  <c r="DV2" i="11"/>
  <c r="DZ2" i="11"/>
  <c r="ED2" i="11"/>
  <c r="F3" i="11"/>
  <c r="J3" i="11"/>
  <c r="N3" i="11"/>
  <c r="R3" i="11"/>
  <c r="V3" i="11"/>
  <c r="Z3" i="11"/>
  <c r="AD3" i="11"/>
  <c r="AH3" i="11"/>
  <c r="AL3" i="11"/>
  <c r="AP3" i="11"/>
  <c r="AT3" i="11"/>
  <c r="AX3" i="11"/>
  <c r="BB3" i="11"/>
  <c r="BF3" i="11"/>
  <c r="BJ3" i="11"/>
  <c r="BR3" i="11"/>
  <c r="BV3" i="11"/>
  <c r="BZ3" i="11"/>
  <c r="CD3" i="11"/>
  <c r="CH3" i="11"/>
  <c r="CL3" i="11"/>
  <c r="CP3" i="11"/>
  <c r="CT3" i="11"/>
  <c r="CX3" i="11"/>
  <c r="DB3" i="11"/>
  <c r="DF3" i="11"/>
  <c r="DJ3" i="11"/>
  <c r="DN3" i="11"/>
  <c r="DR3" i="11"/>
  <c r="DZ3" i="11"/>
  <c r="ED3" i="11"/>
  <c r="B4" i="11"/>
  <c r="F4" i="11"/>
  <c r="J4" i="11"/>
  <c r="N4" i="11"/>
  <c r="R4" i="11"/>
  <c r="V4" i="11"/>
  <c r="Z4" i="11"/>
  <c r="AD4" i="11"/>
  <c r="AL4" i="11"/>
  <c r="AP4" i="11"/>
  <c r="AT4" i="11"/>
  <c r="AX4" i="11"/>
  <c r="BB4" i="11"/>
  <c r="BF4" i="11"/>
  <c r="BJ4" i="11"/>
  <c r="BR4" i="11"/>
  <c r="BV4" i="11"/>
  <c r="BZ4" i="11"/>
  <c r="CD4" i="11"/>
  <c r="CH4" i="11"/>
  <c r="CL4" i="11"/>
  <c r="CP4" i="11"/>
  <c r="CT4" i="11"/>
  <c r="CX4" i="11"/>
  <c r="DB4" i="11"/>
  <c r="DF4" i="11"/>
  <c r="DJ4" i="11"/>
  <c r="DN4" i="11"/>
  <c r="DR4" i="11"/>
  <c r="DZ4" i="11"/>
  <c r="ED4" i="11"/>
  <c r="B5" i="11"/>
  <c r="F5" i="11"/>
  <c r="J5" i="11"/>
  <c r="N5" i="11"/>
  <c r="R5" i="11"/>
  <c r="V5" i="11"/>
  <c r="Z5" i="11"/>
  <c r="AL5" i="11"/>
  <c r="AP5" i="11"/>
  <c r="AT5" i="11"/>
  <c r="AX5" i="11"/>
  <c r="BB5" i="11"/>
  <c r="BF5" i="11"/>
  <c r="BJ5" i="11"/>
  <c r="BR5" i="11"/>
  <c r="BV5" i="11"/>
  <c r="BZ5" i="11"/>
  <c r="CD5" i="11"/>
  <c r="CH5" i="11"/>
  <c r="CL5" i="11"/>
  <c r="CP5" i="11"/>
  <c r="CT5" i="11"/>
  <c r="CX5" i="11"/>
  <c r="DB5" i="11"/>
  <c r="DF5" i="11"/>
  <c r="DJ5" i="11"/>
  <c r="DN5" i="11"/>
  <c r="DR5" i="11"/>
  <c r="DZ5" i="11"/>
  <c r="ED5" i="11"/>
  <c r="F6" i="11"/>
  <c r="N6" i="11"/>
  <c r="R6" i="11"/>
  <c r="V6" i="11"/>
  <c r="Z6" i="11"/>
  <c r="AL6" i="11"/>
  <c r="AP6" i="11"/>
  <c r="AT6" i="11"/>
  <c r="AX6" i="11"/>
  <c r="BB6" i="11"/>
  <c r="BF6" i="11"/>
  <c r="BJ6" i="11"/>
  <c r="BR6" i="11"/>
  <c r="BV6" i="11"/>
  <c r="CD6" i="11"/>
  <c r="CH6" i="11"/>
  <c r="CL6" i="11"/>
  <c r="CP6" i="11"/>
  <c r="CT6" i="11"/>
  <c r="CX6" i="11"/>
  <c r="DB6" i="11"/>
  <c r="DF6" i="11"/>
  <c r="DJ6" i="11"/>
  <c r="DN6" i="11"/>
  <c r="DR6" i="11"/>
  <c r="DZ6" i="11"/>
  <c r="ED6" i="11"/>
  <c r="B7" i="11"/>
  <c r="F7" i="11"/>
  <c r="N7" i="11"/>
  <c r="V7" i="11"/>
  <c r="Z7" i="11"/>
  <c r="AL7" i="11"/>
  <c r="AP7" i="11"/>
  <c r="AX7" i="11"/>
  <c r="BB7" i="11"/>
  <c r="BJ7" i="11"/>
  <c r="BR7" i="11"/>
  <c r="BV7" i="11"/>
  <c r="CD7" i="11"/>
  <c r="CH7" i="11"/>
  <c r="CL7" i="11"/>
  <c r="CP7" i="11"/>
  <c r="CT7" i="11"/>
  <c r="CX7" i="11"/>
  <c r="DF7" i="11"/>
  <c r="DN7" i="11"/>
  <c r="DR7" i="11"/>
  <c r="DZ7" i="11"/>
  <c r="N8" i="11"/>
  <c r="V8" i="11"/>
  <c r="Z8" i="11"/>
  <c r="AL8" i="11"/>
  <c r="AP8" i="11"/>
  <c r="AX8" i="11"/>
  <c r="BB8" i="11"/>
  <c r="BJ8" i="11"/>
  <c r="BV8" i="11"/>
  <c r="CD8" i="11"/>
  <c r="CH8" i="11"/>
  <c r="CP8" i="11"/>
  <c r="CX8" i="11"/>
  <c r="DJ8" i="11"/>
  <c r="DN8" i="11"/>
  <c r="B9" i="11"/>
  <c r="N9" i="11"/>
  <c r="V9" i="11"/>
  <c r="Z9" i="11"/>
  <c r="AL9" i="11"/>
  <c r="AX9" i="11"/>
  <c r="BB9" i="11"/>
  <c r="BJ9" i="11"/>
  <c r="BV9" i="11"/>
  <c r="CD9" i="11"/>
  <c r="CH9" i="11"/>
  <c r="CP9" i="11"/>
  <c r="N10" i="11"/>
  <c r="V10" i="11"/>
  <c r="AL10" i="11"/>
  <c r="AX10" i="11"/>
  <c r="BB10" i="11"/>
  <c r="BJ10" i="11"/>
  <c r="BV10" i="11"/>
  <c r="CD10" i="11"/>
  <c r="CH10" i="11"/>
  <c r="CP10" i="11"/>
  <c r="B11" i="11"/>
  <c r="N11" i="11"/>
  <c r="V11" i="11"/>
  <c r="AL11" i="11"/>
  <c r="AX11" i="11"/>
  <c r="BB11" i="11"/>
  <c r="BJ11" i="11"/>
  <c r="BV11" i="11"/>
  <c r="CD11" i="11"/>
  <c r="CH11" i="11"/>
  <c r="B12" i="11"/>
  <c r="N12" i="11"/>
  <c r="AL12" i="11"/>
  <c r="AX12" i="11"/>
  <c r="BB12" i="11"/>
  <c r="BJ12" i="11"/>
  <c r="BV12" i="11"/>
  <c r="CD12" i="11"/>
  <c r="AL13" i="11"/>
  <c r="AX13" i="11"/>
  <c r="BB13" i="11"/>
  <c r="BJ13" i="11"/>
  <c r="CD13" i="11"/>
  <c r="AL14" i="11"/>
  <c r="AX14" i="11"/>
  <c r="BB14" i="11"/>
  <c r="CD14" i="11"/>
  <c r="AL15" i="11"/>
  <c r="AX15" i="11"/>
  <c r="BB15" i="11"/>
  <c r="AX16" i="11"/>
  <c r="BB16" i="11"/>
  <c r="AX17" i="11"/>
  <c r="BB17" i="11"/>
  <c r="AX18" i="11"/>
  <c r="BB18" i="11"/>
  <c r="AX19" i="11"/>
  <c r="BB19" i="11"/>
  <c r="AX20" i="11"/>
  <c r="BB20" i="11"/>
  <c r="AX21" i="11"/>
  <c r="BB21" i="11"/>
  <c r="AX22" i="11"/>
  <c r="BB22" i="11"/>
  <c r="AL11" i="5"/>
  <c r="AI3" i="5"/>
  <c r="BR7" i="5"/>
  <c r="BR5" i="5"/>
  <c r="AI2" i="5"/>
  <c r="AL5" i="5"/>
  <c r="AL6" i="5"/>
  <c r="AL7" i="5"/>
  <c r="AL4" i="5"/>
  <c r="AL2" i="5"/>
  <c r="AL3" i="5"/>
  <c r="AL8" i="5"/>
  <c r="AL9" i="5"/>
  <c r="AL10" i="5"/>
  <c r="AM3" i="5"/>
  <c r="BR2" i="5"/>
  <c r="BR9" i="5"/>
  <c r="BR10" i="5"/>
  <c r="BR8" i="5"/>
  <c r="BR3" i="5"/>
  <c r="BR4" i="5"/>
  <c r="BR11" i="5"/>
  <c r="BS2" i="5"/>
  <c r="N9" i="18"/>
  <c r="N10" i="18"/>
  <c r="M42" i="18"/>
  <c r="K42" i="18"/>
  <c r="F12" i="9"/>
  <c r="L9" i="1"/>
  <c r="H14" i="9"/>
  <c r="AE5" i="5"/>
  <c r="AE2" i="5"/>
  <c r="AE6" i="5"/>
  <c r="AE3" i="5"/>
  <c r="AE4" i="5"/>
  <c r="BK3" i="5"/>
  <c r="BK2" i="5"/>
  <c r="BG2" i="5"/>
  <c r="BC2" i="5"/>
  <c r="BG3" i="5"/>
  <c r="BO2" i="5"/>
  <c r="BO3" i="5"/>
  <c r="S4" i="5"/>
  <c r="W4" i="5"/>
  <c r="W5" i="5"/>
  <c r="S5" i="5"/>
  <c r="AQ4" i="5"/>
  <c r="BC5" i="5"/>
  <c r="S3" i="5"/>
  <c r="W2" i="5"/>
  <c r="S2" i="5"/>
  <c r="S6" i="5"/>
  <c r="BC4" i="5"/>
  <c r="AA4" i="5"/>
  <c r="BC3" i="5"/>
  <c r="O4" i="5"/>
  <c r="AM9" i="5"/>
  <c r="BS4" i="5"/>
  <c r="BS10" i="5"/>
  <c r="BS7" i="5"/>
  <c r="AY2" i="5"/>
  <c r="AQ5" i="5"/>
  <c r="W3" i="5"/>
  <c r="BK4" i="5"/>
  <c r="AU4" i="5"/>
  <c r="AA7" i="5"/>
  <c r="C4" i="5"/>
  <c r="O8" i="5"/>
  <c r="AM4" i="5"/>
  <c r="W7" i="5"/>
  <c r="AA2" i="5"/>
  <c r="AQ6" i="5"/>
  <c r="AA5" i="5"/>
  <c r="C5" i="5"/>
  <c r="O6" i="5"/>
  <c r="AY3" i="5"/>
  <c r="AY5" i="5"/>
  <c r="G2" i="5"/>
  <c r="AA6" i="5"/>
  <c r="BS9" i="5"/>
  <c r="W6" i="5"/>
  <c r="C3" i="5"/>
  <c r="AQ3" i="5"/>
  <c r="AA3" i="5"/>
  <c r="AM11" i="5"/>
  <c r="O2" i="5"/>
  <c r="BS5" i="5"/>
  <c r="AU3" i="5"/>
  <c r="O7" i="5"/>
  <c r="AQ2" i="5"/>
  <c r="AU5" i="5"/>
  <c r="O5" i="5"/>
  <c r="BS8" i="5"/>
  <c r="AU6" i="5"/>
  <c r="AU2" i="5"/>
  <c r="O3" i="5"/>
  <c r="AY4" i="5"/>
  <c r="C2" i="5"/>
  <c r="BS6" i="5"/>
  <c r="AM5" i="5"/>
  <c r="BS11" i="5"/>
  <c r="AM10" i="5"/>
  <c r="AM8" i="5"/>
  <c r="AM6" i="5"/>
  <c r="G6" i="5"/>
  <c r="G4" i="5"/>
  <c r="AM7" i="5"/>
  <c r="G3" i="5"/>
  <c r="G5" i="5"/>
  <c r="G7" i="5"/>
  <c r="BS3" i="5"/>
  <c r="I13" i="1"/>
  <c r="H9" i="9"/>
  <c r="H15" i="9"/>
  <c r="N11" i="18"/>
  <c r="N12" i="18"/>
  <c r="N15" i="1"/>
  <c r="N10" i="1"/>
  <c r="N9" i="1"/>
  <c r="L15" i="1"/>
  <c r="K43" i="18"/>
  <c r="N11" i="1"/>
  <c r="N12" i="1"/>
  <c r="L16" i="1"/>
  <c r="B6" i="17"/>
  <c r="B3" i="17"/>
  <c r="C11" i="17"/>
  <c r="K16" i="19"/>
  <c r="A7" i="20"/>
  <c r="B7" i="20"/>
  <c r="P29" i="20"/>
  <c r="K27" i="19"/>
  <c r="K23" i="19"/>
  <c r="K28" i="19"/>
  <c r="K15" i="19"/>
  <c r="K25" i="19"/>
  <c r="K24" i="19"/>
  <c r="K17" i="19"/>
  <c r="K10" i="19"/>
  <c r="N10" i="19"/>
  <c r="K14" i="19"/>
  <c r="DU3" i="20"/>
  <c r="DV3" i="20"/>
  <c r="AF12" i="20"/>
  <c r="P20" i="20"/>
  <c r="P32" i="20"/>
  <c r="AF15" i="20"/>
  <c r="GI13" i="20"/>
  <c r="HS2" i="20"/>
  <c r="P23" i="20"/>
  <c r="S6" i="20"/>
  <c r="HS3" i="20"/>
  <c r="AM10" i="20"/>
  <c r="A5" i="20"/>
  <c r="B5" i="20"/>
  <c r="AY19" i="20"/>
  <c r="EQ10" i="20"/>
  <c r="HO7" i="20"/>
  <c r="IU10" i="20"/>
  <c r="AY13" i="20"/>
  <c r="CA5" i="20"/>
  <c r="GU8" i="20"/>
  <c r="HC7" i="20"/>
  <c r="IU6" i="20"/>
  <c r="FS13" i="20"/>
  <c r="FK4" i="20"/>
  <c r="FS6" i="20"/>
  <c r="BK4" i="20"/>
  <c r="CA8" i="20"/>
  <c r="CU3" i="20"/>
  <c r="HK2" i="20"/>
  <c r="HW7" i="20"/>
  <c r="IE2" i="20"/>
  <c r="FW5" i="20"/>
  <c r="GA4" i="20"/>
  <c r="EQ13" i="20"/>
  <c r="AY6" i="20"/>
  <c r="GU6" i="20"/>
  <c r="HC2" i="20"/>
  <c r="HO9" i="20"/>
  <c r="IU8" i="20"/>
  <c r="FS18" i="20"/>
  <c r="EQ11" i="20"/>
  <c r="AY26" i="20"/>
  <c r="AY3" i="20"/>
  <c r="BK10" i="20"/>
  <c r="GU10" i="20"/>
  <c r="HC4" i="20"/>
  <c r="IE7" i="20"/>
  <c r="IE6" i="20"/>
  <c r="FW3" i="20"/>
  <c r="EQ12" i="20"/>
  <c r="AY10" i="20"/>
  <c r="AY16" i="20"/>
  <c r="HK7" i="20"/>
  <c r="IU11" i="20"/>
  <c r="IE4" i="20"/>
  <c r="FS4" i="20"/>
  <c r="FS11" i="20"/>
  <c r="AY29" i="20"/>
  <c r="FK3" i="20"/>
  <c r="FS20" i="20"/>
  <c r="FO5" i="20"/>
  <c r="FO3" i="20"/>
  <c r="FK6" i="20"/>
  <c r="P26" i="20"/>
  <c r="FW4" i="20"/>
  <c r="GE5" i="20"/>
  <c r="AQ6" i="20"/>
  <c r="BW8" i="20"/>
  <c r="CQ12" i="20"/>
  <c r="A9" i="20"/>
  <c r="B9" i="20"/>
  <c r="M49" i="19"/>
  <c r="EE5" i="20"/>
  <c r="DO8" i="20"/>
  <c r="DS11" i="20"/>
  <c r="HG3" i="20"/>
  <c r="FS19" i="20"/>
  <c r="GA6" i="20"/>
  <c r="EQ3" i="20"/>
  <c r="AY27" i="20"/>
  <c r="BK2" i="20"/>
  <c r="CA3" i="20"/>
  <c r="CU5" i="20"/>
  <c r="GU7" i="20"/>
  <c r="HC6" i="20"/>
  <c r="HK8" i="20"/>
  <c r="HO6" i="20"/>
  <c r="HW5" i="20"/>
  <c r="IE5" i="20"/>
  <c r="IM10" i="20"/>
  <c r="IU3" i="20"/>
  <c r="EE3" i="20"/>
  <c r="W4" i="20"/>
  <c r="CQ10" i="20"/>
  <c r="CY6" i="20"/>
  <c r="GY6" i="20"/>
  <c r="EA8" i="20"/>
  <c r="II4" i="20"/>
  <c r="IQ2" i="20"/>
  <c r="AM3" i="20"/>
  <c r="DK5" i="20"/>
  <c r="DO5" i="20"/>
  <c r="DS5" i="20"/>
  <c r="GE6" i="20"/>
  <c r="GI2" i="20"/>
  <c r="AU4" i="20"/>
  <c r="BG2" i="20"/>
  <c r="BW10" i="20"/>
  <c r="DK2" i="20"/>
  <c r="DK3" i="20"/>
  <c r="DO11" i="20"/>
  <c r="EA5" i="20"/>
  <c r="EE4" i="20"/>
  <c r="FK2" i="20"/>
  <c r="FO2" i="20"/>
  <c r="FO7" i="20"/>
  <c r="FS22" i="20"/>
  <c r="FS17" i="20"/>
  <c r="FS8" i="20"/>
  <c r="FS24" i="20"/>
  <c r="FS15" i="20"/>
  <c r="FW7" i="20"/>
  <c r="FW9" i="20"/>
  <c r="GA2" i="20"/>
  <c r="GA8" i="20"/>
  <c r="GI4" i="20"/>
  <c r="GI17" i="20"/>
  <c r="EQ14" i="20"/>
  <c r="EQ2" i="20"/>
  <c r="EQ16" i="20"/>
  <c r="EQ15" i="20"/>
  <c r="GE3" i="20"/>
  <c r="AY14" i="20"/>
  <c r="AY30" i="20"/>
  <c r="AY17" i="20"/>
  <c r="AY4" i="20"/>
  <c r="AY20" i="20"/>
  <c r="AY7" i="20"/>
  <c r="AY23" i="20"/>
  <c r="BG5" i="20"/>
  <c r="BK8" i="20"/>
  <c r="BK6" i="20"/>
  <c r="CA2" i="20"/>
  <c r="BW9" i="20"/>
  <c r="CA6" i="20"/>
  <c r="CQ11" i="20"/>
  <c r="CU2" i="20"/>
  <c r="GU5" i="20"/>
  <c r="GU3" i="20"/>
  <c r="GY5" i="20"/>
  <c r="HC5" i="20"/>
  <c r="HC8" i="20"/>
  <c r="HC11" i="20"/>
  <c r="HK4" i="20"/>
  <c r="HK6" i="20"/>
  <c r="HO4" i="20"/>
  <c r="HO2" i="20"/>
  <c r="HW2" i="20"/>
  <c r="HW6" i="20"/>
  <c r="IU9" i="20"/>
  <c r="IU12" i="20"/>
  <c r="IU5" i="20"/>
  <c r="IM4" i="20"/>
  <c r="IM3" i="20"/>
  <c r="IM6" i="20"/>
  <c r="IE8" i="20"/>
  <c r="IE3" i="20"/>
  <c r="A18" i="20"/>
  <c r="B18" i="20"/>
  <c r="DU12" i="20"/>
  <c r="DV12" i="20"/>
  <c r="S2" i="20"/>
  <c r="W6" i="20"/>
  <c r="AU2" i="20"/>
  <c r="BG6" i="20"/>
  <c r="GY4" i="20"/>
  <c r="DC3" i="20"/>
  <c r="IA3" i="20"/>
  <c r="II3" i="20"/>
  <c r="IQ4" i="20"/>
  <c r="A3" i="20"/>
  <c r="B3" i="20"/>
  <c r="DS8" i="20"/>
  <c r="EA11" i="20"/>
  <c r="EE6" i="20"/>
  <c r="FK5" i="20"/>
  <c r="FO8" i="20"/>
  <c r="FO6" i="20"/>
  <c r="FS14" i="20"/>
  <c r="FS9" i="20"/>
  <c r="FS2" i="20"/>
  <c r="FS16" i="20"/>
  <c r="FS7" i="20"/>
  <c r="FS23" i="20"/>
  <c r="FW2" i="20"/>
  <c r="FW8" i="20"/>
  <c r="GA9" i="20"/>
  <c r="GA7" i="20"/>
  <c r="GI3" i="20"/>
  <c r="GE16" i="20"/>
  <c r="EQ9" i="20"/>
  <c r="EQ8" i="20"/>
  <c r="EQ7" i="20"/>
  <c r="EQ6" i="20"/>
  <c r="AY22" i="20"/>
  <c r="AY9" i="20"/>
  <c r="AY25" i="20"/>
  <c r="AY12" i="20"/>
  <c r="AY28" i="20"/>
  <c r="AY15" i="20"/>
  <c r="AY2" i="20"/>
  <c r="BK9" i="20"/>
  <c r="BK7" i="20"/>
  <c r="BK5" i="20"/>
  <c r="CA4" i="20"/>
  <c r="CA7" i="20"/>
  <c r="CQ13" i="20"/>
  <c r="CU4" i="20"/>
  <c r="CY8" i="20"/>
  <c r="GU4" i="20"/>
  <c r="GU2" i="20"/>
  <c r="HC10" i="20"/>
  <c r="HC13" i="20"/>
  <c r="HC3" i="20"/>
  <c r="HK5" i="20"/>
  <c r="HK3" i="20"/>
  <c r="HO5" i="20"/>
  <c r="HO3" i="20"/>
  <c r="HW8" i="20"/>
  <c r="HW3" i="20"/>
  <c r="IU4" i="20"/>
  <c r="IU7" i="20"/>
  <c r="IM13" i="20"/>
  <c r="IM12" i="20"/>
  <c r="IM11" i="20"/>
  <c r="IM2" i="20"/>
  <c r="IM5" i="20"/>
  <c r="A35" i="20"/>
  <c r="B35" i="20"/>
  <c r="FO4" i="20"/>
  <c r="FS10" i="20"/>
  <c r="FS5" i="20"/>
  <c r="FS21" i="20"/>
  <c r="FS12" i="20"/>
  <c r="FS3" i="20"/>
  <c r="FW6" i="20"/>
  <c r="GA5" i="20"/>
  <c r="GA3" i="20"/>
  <c r="EQ5" i="20"/>
  <c r="EQ4" i="20"/>
  <c r="AY18" i="20"/>
  <c r="AY5" i="20"/>
  <c r="AY21" i="20"/>
  <c r="AY8" i="20"/>
  <c r="AY24" i="20"/>
  <c r="AY11" i="20"/>
  <c r="BK3" i="20"/>
  <c r="GU9" i="20"/>
  <c r="HC9" i="20"/>
  <c r="HC12" i="20"/>
  <c r="HO10" i="20"/>
  <c r="HO8" i="20"/>
  <c r="HW4" i="20"/>
  <c r="IU2" i="20"/>
  <c r="IM9" i="20"/>
  <c r="IM8" i="20"/>
  <c r="IM7" i="20"/>
  <c r="DK10" i="20"/>
  <c r="DO2" i="20"/>
  <c r="DS6" i="20"/>
  <c r="EE7" i="20"/>
  <c r="GE4" i="20"/>
  <c r="AQ4" i="20"/>
  <c r="GI6" i="20"/>
  <c r="BW2" i="20"/>
  <c r="CQ15" i="20"/>
  <c r="CY4" i="20"/>
  <c r="EA6" i="20"/>
  <c r="AM2" i="20"/>
  <c r="AU3" i="20"/>
  <c r="AU6" i="20"/>
  <c r="S5" i="20"/>
  <c r="S3" i="20"/>
  <c r="DK9" i="20"/>
  <c r="DK12" i="20"/>
  <c r="DK6" i="20"/>
  <c r="DO14" i="20"/>
  <c r="DO4" i="20"/>
  <c r="DO7" i="20"/>
  <c r="DS10" i="20"/>
  <c r="DS4" i="20"/>
  <c r="DS7" i="20"/>
  <c r="EA2" i="20"/>
  <c r="EA4" i="20"/>
  <c r="EA7" i="20"/>
  <c r="EE14" i="20"/>
  <c r="EE2" i="20"/>
  <c r="EE16" i="20"/>
  <c r="EE15" i="20"/>
  <c r="S4" i="20"/>
  <c r="W5" i="20"/>
  <c r="W2" i="20"/>
  <c r="AM12" i="20"/>
  <c r="AM4" i="20"/>
  <c r="GI9" i="20"/>
  <c r="GE15" i="20"/>
  <c r="GI16" i="20"/>
  <c r="GE2" i="20"/>
  <c r="GI15" i="20"/>
  <c r="GE17" i="20"/>
  <c r="GI14" i="20"/>
  <c r="GE12" i="20"/>
  <c r="AQ7" i="20"/>
  <c r="GI5" i="20"/>
  <c r="AU7" i="20"/>
  <c r="BG10" i="20"/>
  <c r="BG8" i="20"/>
  <c r="BG11" i="20"/>
  <c r="BW11" i="20"/>
  <c r="BW6" i="20"/>
  <c r="BW5" i="20"/>
  <c r="BW4" i="20"/>
  <c r="CQ9" i="20"/>
  <c r="CQ8" i="20"/>
  <c r="CQ7" i="20"/>
  <c r="CY7" i="20"/>
  <c r="CY9" i="20"/>
  <c r="GY2" i="20"/>
  <c r="DC2" i="20"/>
  <c r="IA2" i="20"/>
  <c r="IA4" i="20"/>
  <c r="IQ3" i="20"/>
  <c r="A2" i="20"/>
  <c r="B2" i="20"/>
  <c r="AU5" i="20"/>
  <c r="DK8" i="20"/>
  <c r="DK11" i="20"/>
  <c r="DO10" i="20"/>
  <c r="DO13" i="20"/>
  <c r="DO3" i="20"/>
  <c r="DO6" i="20"/>
  <c r="DS2" i="20"/>
  <c r="DS3" i="20"/>
  <c r="EA10" i="20"/>
  <c r="EA13" i="20"/>
  <c r="EA3" i="20"/>
  <c r="EE10" i="20"/>
  <c r="EE13" i="20"/>
  <c r="EE12" i="20"/>
  <c r="EE11" i="20"/>
  <c r="W3" i="20"/>
  <c r="AM8" i="20"/>
  <c r="AM11" i="20"/>
  <c r="AM7" i="20"/>
  <c r="AM5" i="20"/>
  <c r="GE11" i="20"/>
  <c r="GI12" i="20"/>
  <c r="GE14" i="20"/>
  <c r="GI11" i="20"/>
  <c r="GE13" i="20"/>
  <c r="GI10" i="20"/>
  <c r="GE8" i="20"/>
  <c r="AQ3" i="20"/>
  <c r="AQ2" i="20"/>
  <c r="BG4" i="20"/>
  <c r="BG7" i="20"/>
  <c r="BW7" i="20"/>
  <c r="BW12" i="20"/>
  <c r="BW3" i="20"/>
  <c r="CQ5" i="20"/>
  <c r="CQ4" i="20"/>
  <c r="CQ3" i="20"/>
  <c r="CQ6" i="20"/>
  <c r="CY5" i="20"/>
  <c r="CY3" i="20"/>
  <c r="GY3" i="20"/>
  <c r="DC4" i="20"/>
  <c r="DC5" i="20"/>
  <c r="II2" i="20"/>
  <c r="IA5" i="20"/>
  <c r="DK4" i="20"/>
  <c r="DK7" i="20"/>
  <c r="DO9" i="20"/>
  <c r="DO12" i="20"/>
  <c r="DS9" i="20"/>
  <c r="DS12" i="20"/>
  <c r="EA9" i="20"/>
  <c r="EA12" i="20"/>
  <c r="EE9" i="20"/>
  <c r="EE8" i="20"/>
  <c r="AM9" i="20"/>
  <c r="AM6" i="20"/>
  <c r="GE7" i="20"/>
  <c r="GI8" i="20"/>
  <c r="GE10" i="20"/>
  <c r="GI7" i="20"/>
  <c r="GE9" i="20"/>
  <c r="AQ8" i="20"/>
  <c r="AQ5" i="20"/>
  <c r="BG9" i="20"/>
  <c r="BG3" i="20"/>
  <c r="CQ14" i="20"/>
  <c r="CQ2" i="20"/>
  <c r="CQ16" i="20"/>
  <c r="CY2" i="20"/>
  <c r="HG2" i="20"/>
  <c r="GM6" i="20"/>
  <c r="GM4" i="20"/>
  <c r="GM2" i="20"/>
  <c r="GM3" i="20"/>
  <c r="GM7" i="20"/>
  <c r="GM5" i="20"/>
  <c r="O7" i="17"/>
  <c r="O3" i="17"/>
  <c r="O16" i="17"/>
  <c r="O10" i="17"/>
  <c r="O17" i="17"/>
  <c r="O8" i="17"/>
  <c r="O4" i="17"/>
  <c r="O14" i="17"/>
  <c r="O2" i="17"/>
  <c r="O13" i="17"/>
  <c r="O5" i="17"/>
  <c r="O15" i="17"/>
  <c r="O6" i="17"/>
  <c r="O9" i="17"/>
  <c r="O11" i="17"/>
  <c r="O12" i="17"/>
  <c r="AE4" i="17"/>
  <c r="AE5" i="17"/>
  <c r="AE6" i="17"/>
  <c r="AE2" i="17"/>
  <c r="AE3" i="17"/>
  <c r="DS11" i="17"/>
  <c r="DS8" i="17"/>
  <c r="DS6" i="17"/>
  <c r="DS2" i="17"/>
  <c r="DS5" i="17"/>
  <c r="DS9" i="17"/>
  <c r="DS10" i="17"/>
  <c r="DS3" i="17"/>
  <c r="DS4" i="17"/>
  <c r="DS7" i="17"/>
  <c r="AA5" i="17"/>
  <c r="AA3" i="17"/>
  <c r="AA2" i="17"/>
  <c r="AA7" i="17"/>
  <c r="AA8" i="17"/>
  <c r="AA10" i="17"/>
  <c r="AA11" i="17"/>
  <c r="AA9" i="17"/>
  <c r="AA6" i="17"/>
  <c r="AA4" i="17"/>
  <c r="AA4" i="20"/>
  <c r="AA2" i="20"/>
  <c r="AA9" i="20"/>
  <c r="AA6" i="20"/>
  <c r="AA7" i="20"/>
  <c r="AA3" i="20"/>
  <c r="AA5" i="20"/>
  <c r="AA8" i="20"/>
  <c r="H40" i="18"/>
  <c r="L43" i="18"/>
  <c r="DW2" i="17"/>
  <c r="DW7" i="17"/>
  <c r="DW3" i="17"/>
  <c r="DW6" i="17"/>
  <c r="DW4" i="17"/>
  <c r="DW10" i="17"/>
  <c r="DW11" i="17"/>
  <c r="DW8" i="17"/>
  <c r="DW5" i="17"/>
  <c r="DW12" i="17"/>
  <c r="DW9" i="17"/>
  <c r="H47" i="19"/>
  <c r="L50" i="19"/>
  <c r="DK7" i="17"/>
  <c r="DK9" i="17"/>
  <c r="DK6" i="17"/>
  <c r="DK4" i="17"/>
  <c r="DK8" i="17"/>
  <c r="DK2" i="17"/>
  <c r="DK3" i="17"/>
  <c r="DK5" i="17"/>
  <c r="EY7" i="17"/>
  <c r="EY8" i="17"/>
  <c r="EY5" i="17"/>
  <c r="EY11" i="17"/>
  <c r="EY12" i="17"/>
  <c r="EY9" i="17"/>
  <c r="EY15" i="17"/>
  <c r="EY2" i="17"/>
  <c r="EY13" i="17"/>
  <c r="EY10" i="17"/>
  <c r="EY6" i="17"/>
  <c r="EY3" i="17"/>
  <c r="EY4" i="17"/>
  <c r="EY14" i="17"/>
  <c r="FC11" i="20"/>
  <c r="FC8" i="20"/>
  <c r="FC10" i="20"/>
  <c r="FC2" i="20"/>
  <c r="FC5" i="20"/>
  <c r="FC3" i="20"/>
  <c r="FC9" i="20"/>
  <c r="FC6" i="20"/>
  <c r="FC7" i="20"/>
  <c r="FC4" i="20"/>
  <c r="G12" i="20"/>
  <c r="G9" i="20"/>
  <c r="G5" i="20"/>
  <c r="G6" i="20"/>
  <c r="G3" i="20"/>
  <c r="G2" i="20"/>
  <c r="G10" i="20"/>
  <c r="G7" i="20"/>
  <c r="G4" i="20"/>
  <c r="G11" i="20"/>
  <c r="G8" i="20"/>
  <c r="GQ7" i="20"/>
  <c r="GQ5" i="20"/>
  <c r="GQ3" i="20"/>
  <c r="GQ9" i="20"/>
  <c r="GQ6" i="20"/>
  <c r="GQ4" i="20"/>
  <c r="GQ8" i="20"/>
  <c r="GQ2" i="20"/>
  <c r="C2" i="17"/>
  <c r="C3" i="17"/>
  <c r="C7" i="17"/>
  <c r="C19" i="17"/>
  <c r="C12" i="17"/>
  <c r="C16" i="17"/>
  <c r="C14" i="17"/>
  <c r="C17" i="17"/>
  <c r="C15" i="17"/>
  <c r="C6" i="17"/>
  <c r="C4" i="17"/>
  <c r="C10" i="17"/>
  <c r="C8" i="17"/>
  <c r="C13" i="17"/>
  <c r="C18" i="17"/>
  <c r="C5" i="17"/>
  <c r="C9" i="17"/>
  <c r="AM2" i="5"/>
  <c r="K10" i="9"/>
  <c r="K9" i="9"/>
  <c r="N9" i="9"/>
  <c r="N10" i="9"/>
  <c r="K26" i="9"/>
  <c r="CY6" i="11"/>
  <c r="F10" i="9"/>
  <c r="F26" i="9"/>
  <c r="CM2" i="17"/>
  <c r="K4" i="11"/>
  <c r="A3" i="11"/>
  <c r="B3" i="11"/>
  <c r="CM7" i="11"/>
  <c r="BC16" i="17"/>
  <c r="BC21" i="20"/>
  <c r="CM9" i="20"/>
  <c r="CA3" i="11"/>
  <c r="AY22" i="11"/>
  <c r="EA5" i="11"/>
  <c r="CM3" i="11"/>
  <c r="EA3" i="11"/>
  <c r="BC12" i="11"/>
  <c r="BC10" i="11"/>
  <c r="CY3" i="11"/>
  <c r="EE4" i="11"/>
  <c r="CE11" i="11"/>
  <c r="BC7" i="17"/>
  <c r="K5" i="11"/>
  <c r="DC3" i="11"/>
  <c r="EA6" i="11"/>
  <c r="CE9" i="11"/>
  <c r="BC21" i="17"/>
  <c r="CM4" i="17"/>
  <c r="BW6" i="11"/>
  <c r="K2" i="11"/>
  <c r="A2" i="11"/>
  <c r="B2" i="11"/>
  <c r="AY19" i="11"/>
  <c r="CE13" i="11"/>
  <c r="AY18" i="11"/>
  <c r="BW2" i="11"/>
  <c r="DC2" i="11"/>
  <c r="CA4" i="11"/>
  <c r="AU4" i="11"/>
  <c r="BC19" i="11"/>
  <c r="BW7" i="11"/>
  <c r="EA2" i="11"/>
  <c r="CY4" i="11"/>
  <c r="BK4" i="11"/>
  <c r="EE3" i="11"/>
  <c r="AY16" i="11"/>
  <c r="BC4" i="17"/>
  <c r="CM14" i="17"/>
  <c r="CM3" i="20"/>
  <c r="BC2" i="20"/>
  <c r="EA7" i="11"/>
  <c r="BW9" i="11"/>
  <c r="BC6" i="11"/>
  <c r="CM2" i="11"/>
  <c r="BW10" i="11"/>
  <c r="BW11" i="11"/>
  <c r="K3" i="11"/>
  <c r="DG5" i="11"/>
  <c r="G2" i="11"/>
  <c r="AI3" i="20"/>
  <c r="K29" i="9"/>
  <c r="AA9" i="9"/>
  <c r="CI7" i="11"/>
  <c r="CE10" i="11"/>
  <c r="AY5" i="11"/>
  <c r="BK13" i="11"/>
  <c r="BC4" i="11"/>
  <c r="BW8" i="11"/>
  <c r="BC5" i="11"/>
  <c r="AY9" i="11"/>
  <c r="BC16" i="11"/>
  <c r="AY13" i="11"/>
  <c r="BK2" i="11"/>
  <c r="BC18" i="11"/>
  <c r="BC9" i="11"/>
  <c r="AY21" i="11"/>
  <c r="EE5" i="11"/>
  <c r="BK11" i="11"/>
  <c r="AY11" i="11"/>
  <c r="AY6" i="11"/>
  <c r="AY7" i="11"/>
  <c r="BC21" i="11"/>
  <c r="AY8" i="11"/>
  <c r="BC22" i="11"/>
  <c r="CY7" i="11"/>
  <c r="CE8" i="11"/>
  <c r="CY2" i="11"/>
  <c r="AY14" i="11"/>
  <c r="BC8" i="11"/>
  <c r="AY4" i="11"/>
  <c r="AY10" i="11"/>
  <c r="BW4" i="11"/>
  <c r="BK7" i="11"/>
  <c r="EA4" i="11"/>
  <c r="CE7" i="11"/>
  <c r="BC7" i="11"/>
  <c r="CM5" i="11"/>
  <c r="BC20" i="11"/>
  <c r="BK6" i="11"/>
  <c r="BC8" i="17"/>
  <c r="BC3" i="17"/>
  <c r="BC20" i="17"/>
  <c r="BC15" i="17"/>
  <c r="CM5" i="17"/>
  <c r="BC7" i="20"/>
  <c r="BC6" i="20"/>
  <c r="CM5" i="20"/>
  <c r="BC19" i="20"/>
  <c r="BC15" i="20"/>
  <c r="BC13" i="20"/>
  <c r="BC11" i="20"/>
  <c r="BC8" i="20"/>
  <c r="EE6" i="11"/>
  <c r="BW12" i="11"/>
  <c r="CE5" i="11"/>
  <c r="BC17" i="11"/>
  <c r="BC14" i="11"/>
  <c r="CM4" i="11"/>
  <c r="CE4" i="11"/>
  <c r="BC13" i="11"/>
  <c r="BK5" i="11"/>
  <c r="BK9" i="11"/>
  <c r="CE14" i="11"/>
  <c r="BK8" i="11"/>
  <c r="CM6" i="11"/>
  <c r="BW5" i="11"/>
  <c r="CY8" i="11"/>
  <c r="BC15" i="11"/>
  <c r="BC12" i="17"/>
  <c r="BC10" i="17"/>
  <c r="BC6" i="17"/>
  <c r="CM3" i="17"/>
  <c r="BC17" i="17"/>
  <c r="BC14" i="17"/>
  <c r="CM11" i="17"/>
  <c r="BC13" i="17"/>
  <c r="BC4" i="20"/>
  <c r="BC16" i="20"/>
  <c r="CM13" i="20"/>
  <c r="CM11" i="20"/>
  <c r="BC10" i="20"/>
  <c r="BC9" i="20"/>
  <c r="CM7" i="20"/>
  <c r="BC22" i="20"/>
  <c r="BC14" i="20"/>
  <c r="BC12" i="20"/>
  <c r="CM10" i="20"/>
  <c r="CM6" i="20"/>
  <c r="BC2" i="17"/>
  <c r="BC20" i="20"/>
  <c r="CM2" i="20"/>
  <c r="AY20" i="11"/>
  <c r="BC3" i="11"/>
  <c r="CM13" i="17"/>
  <c r="BC9" i="17"/>
  <c r="CM7" i="17"/>
  <c r="BC19" i="17"/>
  <c r="CM9" i="17"/>
  <c r="CM8" i="20"/>
  <c r="BC18" i="20"/>
  <c r="CM6" i="17"/>
  <c r="AA6" i="11"/>
  <c r="EI9" i="11"/>
  <c r="AU3" i="11"/>
  <c r="CQ5" i="11"/>
  <c r="AQ5" i="11"/>
  <c r="CQ2" i="11"/>
  <c r="AU7" i="11"/>
  <c r="AA4" i="11"/>
  <c r="CU7" i="11"/>
  <c r="AU5" i="11"/>
  <c r="DS6" i="11"/>
  <c r="DC4" i="11"/>
  <c r="AI2" i="11"/>
  <c r="DS3" i="11"/>
  <c r="CI2" i="11"/>
  <c r="BS4" i="11"/>
  <c r="AA8" i="11"/>
  <c r="DS5" i="11"/>
  <c r="AA3" i="11"/>
  <c r="AA7" i="11"/>
  <c r="DC6" i="11"/>
  <c r="G6" i="11"/>
  <c r="DG3" i="11"/>
  <c r="CA2" i="11"/>
  <c r="EI5" i="11"/>
  <c r="EI7" i="11"/>
  <c r="AQ7" i="11"/>
  <c r="AM14" i="11"/>
  <c r="O3" i="11"/>
  <c r="AM9" i="11"/>
  <c r="O12" i="11"/>
  <c r="CQ10" i="11"/>
  <c r="DO5" i="11"/>
  <c r="CI5" i="11"/>
  <c r="BS7" i="11"/>
  <c r="AU6" i="11"/>
  <c r="AI2" i="17"/>
  <c r="AI2" i="20"/>
  <c r="K3" i="20"/>
  <c r="AA9" i="11"/>
  <c r="DO4" i="11"/>
  <c r="DS7" i="11"/>
  <c r="K5" i="17"/>
  <c r="AY3" i="11"/>
  <c r="BW3" i="11"/>
  <c r="CE3" i="11"/>
  <c r="AY2" i="11"/>
  <c r="AY12" i="11"/>
  <c r="AY15" i="11"/>
  <c r="BK3" i="11"/>
  <c r="CY5" i="11"/>
  <c r="AY17" i="11"/>
  <c r="BC11" i="11"/>
  <c r="CE12" i="11"/>
  <c r="BK12" i="11"/>
  <c r="CE2" i="11"/>
  <c r="BK10" i="11"/>
  <c r="BC2" i="11"/>
  <c r="CE6" i="11"/>
  <c r="EE2" i="11"/>
  <c r="BC11" i="17"/>
  <c r="BC22" i="17"/>
  <c r="BC18" i="17"/>
  <c r="CM12" i="17"/>
  <c r="CM10" i="17"/>
  <c r="CM8" i="17"/>
  <c r="BC5" i="17"/>
  <c r="BC3" i="20"/>
  <c r="BC17" i="20"/>
  <c r="CM14" i="20"/>
  <c r="CM12" i="20"/>
  <c r="BC5" i="20"/>
  <c r="CM4" i="20"/>
  <c r="K25" i="9"/>
  <c r="M10" i="9"/>
  <c r="AM8" i="11"/>
  <c r="CQ4" i="11"/>
  <c r="AA2" i="11"/>
  <c r="CQ6" i="11"/>
  <c r="DS4" i="11"/>
  <c r="AM2" i="11"/>
  <c r="DS2" i="11"/>
  <c r="DC5" i="11"/>
  <c r="AA5" i="11"/>
  <c r="G8" i="11"/>
  <c r="K4" i="17"/>
  <c r="K3" i="17"/>
  <c r="AM6" i="11"/>
  <c r="EI6" i="11"/>
  <c r="W4" i="11"/>
  <c r="DG2" i="11"/>
  <c r="CQ3" i="11"/>
  <c r="BG3" i="11"/>
  <c r="AQ8" i="11"/>
  <c r="AE3" i="11"/>
  <c r="O10" i="11"/>
  <c r="DO7" i="11"/>
  <c r="CU5" i="11"/>
  <c r="AI3" i="11"/>
  <c r="S5" i="11"/>
  <c r="G9" i="11"/>
  <c r="AM7" i="11"/>
  <c r="AI3" i="17"/>
  <c r="EI10" i="11"/>
  <c r="W6" i="11"/>
  <c r="CU6" i="11"/>
  <c r="CI11" i="11"/>
  <c r="DG7" i="11"/>
  <c r="G3" i="11"/>
  <c r="O5" i="11"/>
  <c r="BS3" i="11"/>
  <c r="W10" i="11"/>
  <c r="DO8" i="11"/>
  <c r="AM13" i="11"/>
  <c r="W5" i="11"/>
  <c r="AU2" i="11"/>
  <c r="AM5" i="11"/>
  <c r="W11" i="11"/>
  <c r="CU2" i="11"/>
  <c r="AE4" i="11"/>
  <c r="G13" i="11"/>
  <c r="BS2" i="11"/>
  <c r="BG4" i="11"/>
  <c r="AM12" i="11"/>
  <c r="CI6" i="11"/>
  <c r="S2" i="11"/>
  <c r="DO2" i="11"/>
  <c r="DO6" i="11"/>
  <c r="BG5" i="11"/>
  <c r="AM11" i="11"/>
  <c r="BS5" i="11"/>
  <c r="G7" i="11"/>
  <c r="O6" i="11"/>
  <c r="CI3" i="11"/>
  <c r="G4" i="11"/>
  <c r="W2" i="11"/>
  <c r="CI8" i="11"/>
  <c r="CU3" i="11"/>
  <c r="CA5" i="11"/>
  <c r="CI10" i="11"/>
  <c r="DG4" i="11"/>
  <c r="CU4" i="11"/>
  <c r="BG6" i="11"/>
  <c r="AQ4" i="11"/>
  <c r="W8" i="11"/>
  <c r="W9" i="11"/>
  <c r="W7" i="11"/>
  <c r="O11" i="11"/>
  <c r="S6" i="11"/>
  <c r="AQ6" i="11"/>
  <c r="O8" i="11"/>
  <c r="BS6" i="11"/>
  <c r="CI9" i="11"/>
  <c r="S3" i="11"/>
  <c r="S4" i="11"/>
  <c r="K2" i="17"/>
  <c r="K2" i="20"/>
  <c r="EI4" i="11"/>
  <c r="CQ7" i="11"/>
  <c r="G11" i="11"/>
  <c r="CI4" i="11"/>
  <c r="O4" i="11"/>
  <c r="O2" i="11"/>
  <c r="CQ8" i="11"/>
  <c r="AM3" i="11"/>
  <c r="CQ9" i="11"/>
  <c r="DG6" i="11"/>
  <c r="AQ2" i="11"/>
  <c r="G5" i="11"/>
  <c r="G12" i="11"/>
  <c r="AE2" i="11"/>
  <c r="K5" i="20"/>
  <c r="K4" i="20"/>
  <c r="EI3" i="11"/>
  <c r="EI2" i="11"/>
  <c r="G10" i="11"/>
  <c r="DO3" i="11"/>
  <c r="O9" i="11"/>
  <c r="AM10" i="11"/>
  <c r="W3" i="11"/>
  <c r="AQ3" i="11"/>
  <c r="BG2" i="11"/>
  <c r="O7" i="11"/>
  <c r="AM15" i="11"/>
  <c r="AM4" i="11"/>
  <c r="EI8" i="11"/>
  <c r="A10" i="11"/>
  <c r="B10" i="11"/>
  <c r="DK4" i="11"/>
  <c r="DK5" i="11"/>
  <c r="DK6" i="11"/>
  <c r="DK2" i="11"/>
  <c r="DK3" i="11"/>
  <c r="DK7" i="11"/>
  <c r="DK8" i="11"/>
  <c r="H27" i="9"/>
  <c r="E16" i="11"/>
  <c r="F13" i="9"/>
  <c r="M9" i="19"/>
  <c r="M14" i="19"/>
  <c r="DW8" i="20"/>
  <c r="K49" i="19"/>
  <c r="FE6" i="20"/>
  <c r="FF6" i="20"/>
  <c r="N14" i="19"/>
  <c r="N16" i="19"/>
  <c r="EK13" i="20"/>
  <c r="EL13" i="20"/>
  <c r="AC6" i="20"/>
  <c r="AD6" i="20"/>
  <c r="EK3" i="20"/>
  <c r="EL3" i="20"/>
  <c r="EK4" i="20"/>
  <c r="EL4" i="20"/>
  <c r="EK12" i="20"/>
  <c r="EL12" i="20"/>
  <c r="AC4" i="20"/>
  <c r="AD4" i="20"/>
  <c r="EK5" i="20"/>
  <c r="EL5" i="20"/>
  <c r="EK2" i="20"/>
  <c r="EL2" i="20"/>
  <c r="FE3" i="20"/>
  <c r="FF3" i="20"/>
  <c r="M3" i="20"/>
  <c r="N3" i="20"/>
  <c r="AC2" i="20"/>
  <c r="AD2" i="20"/>
  <c r="EK7" i="20"/>
  <c r="EL7" i="20"/>
  <c r="EK9" i="20"/>
  <c r="EL9" i="20"/>
  <c r="EK11" i="20"/>
  <c r="EL11" i="20"/>
  <c r="EK15" i="20"/>
  <c r="EK10" i="20"/>
  <c r="EL10" i="20"/>
  <c r="AC3" i="20"/>
  <c r="AD3" i="20"/>
  <c r="EK8" i="20"/>
  <c r="EL8" i="20"/>
  <c r="EK6" i="20"/>
  <c r="EL6" i="20"/>
  <c r="AC5" i="20"/>
  <c r="AD5" i="20"/>
  <c r="FE20" i="20"/>
  <c r="FE7" i="20"/>
  <c r="FF7" i="20"/>
  <c r="FE2" i="20"/>
  <c r="FF2" i="20"/>
  <c r="M4" i="20"/>
  <c r="N4" i="20"/>
  <c r="FE5" i="20"/>
  <c r="FF5" i="20"/>
  <c r="DW18" i="20"/>
  <c r="FE13" i="20"/>
  <c r="FF13" i="20"/>
  <c r="FE14" i="20"/>
  <c r="FF14" i="20"/>
  <c r="M9" i="20"/>
  <c r="N9" i="20"/>
  <c r="M8" i="20"/>
  <c r="N8" i="20"/>
  <c r="FE8" i="20"/>
  <c r="FF8" i="20"/>
  <c r="M2" i="20"/>
  <c r="N2" i="20"/>
  <c r="C9" i="20"/>
  <c r="FE9" i="20"/>
  <c r="FF9" i="20"/>
  <c r="M7" i="20"/>
  <c r="N7" i="20"/>
  <c r="FE11" i="20"/>
  <c r="FF11" i="20"/>
  <c r="M6" i="20"/>
  <c r="N6" i="20"/>
  <c r="FE4" i="20"/>
  <c r="FF4" i="20"/>
  <c r="DW11" i="20"/>
  <c r="FE12" i="20"/>
  <c r="FF12" i="20"/>
  <c r="DW7" i="20"/>
  <c r="C18" i="20"/>
  <c r="DW16" i="20"/>
  <c r="DW15" i="20"/>
  <c r="C35" i="20"/>
  <c r="C7" i="20"/>
  <c r="C31" i="20"/>
  <c r="C26" i="20"/>
  <c r="C19" i="20"/>
  <c r="C30" i="20"/>
  <c r="FE10" i="20"/>
  <c r="FF10" i="20"/>
  <c r="M5" i="20"/>
  <c r="N5" i="20"/>
  <c r="C20" i="20"/>
  <c r="C29" i="20"/>
  <c r="C24" i="20"/>
  <c r="C23" i="20"/>
  <c r="C3" i="20"/>
  <c r="C13" i="20"/>
  <c r="C21" i="20"/>
  <c r="C33" i="20"/>
  <c r="C4" i="20"/>
  <c r="C16" i="20"/>
  <c r="DW17" i="20"/>
  <c r="DW4" i="20"/>
  <c r="DW3" i="20"/>
  <c r="DW6" i="20"/>
  <c r="C22" i="20"/>
  <c r="C34" i="20"/>
  <c r="C5" i="20"/>
  <c r="C17" i="20"/>
  <c r="C15" i="20"/>
  <c r="C27" i="20"/>
  <c r="C14" i="20"/>
  <c r="C10" i="20"/>
  <c r="C12" i="20"/>
  <c r="DW5" i="20"/>
  <c r="DW14" i="20"/>
  <c r="DW13" i="20"/>
  <c r="DW12" i="20"/>
  <c r="C32" i="20"/>
  <c r="C2" i="20"/>
  <c r="C11" i="20"/>
  <c r="C6" i="20"/>
  <c r="C25" i="20"/>
  <c r="C28" i="20"/>
  <c r="C8" i="20"/>
  <c r="DW2" i="20"/>
  <c r="DW10" i="20"/>
  <c r="DW9" i="20"/>
  <c r="Z9" i="9"/>
  <c r="M29" i="9"/>
  <c r="M9" i="9"/>
  <c r="M11" i="9"/>
  <c r="M12" i="9"/>
  <c r="K30" i="9"/>
  <c r="N11" i="9"/>
  <c r="N12" i="9"/>
  <c r="C5" i="11"/>
  <c r="AA10" i="9"/>
  <c r="C11" i="11"/>
  <c r="C2" i="11"/>
  <c r="C4" i="11"/>
  <c r="L30" i="9"/>
  <c r="C6" i="11"/>
  <c r="C8" i="11"/>
  <c r="C9" i="11"/>
  <c r="C10" i="11"/>
  <c r="C12" i="11"/>
  <c r="C3" i="11"/>
  <c r="C7" i="11"/>
  <c r="M16" i="19"/>
  <c r="M11" i="19"/>
  <c r="N9" i="19"/>
  <c r="N11" i="19"/>
  <c r="EM12" i="20"/>
  <c r="EM11" i="20"/>
  <c r="EM4" i="20"/>
  <c r="AE6" i="20"/>
  <c r="EM13" i="20"/>
  <c r="EM8" i="20"/>
  <c r="AE2" i="20"/>
  <c r="EM2" i="20"/>
  <c r="EM5" i="20"/>
  <c r="EM9" i="20"/>
  <c r="AE5" i="20"/>
  <c r="AE3" i="20"/>
  <c r="EM6" i="20"/>
  <c r="EM10" i="20"/>
  <c r="EM7" i="20"/>
  <c r="EM3" i="20"/>
  <c r="AE4" i="20"/>
  <c r="O2" i="20"/>
  <c r="O9" i="20"/>
  <c r="FG4" i="20"/>
  <c r="FG3" i="20"/>
  <c r="FG7" i="20"/>
  <c r="O6" i="20"/>
  <c r="O7" i="20"/>
  <c r="O8" i="20"/>
  <c r="FG8" i="20"/>
  <c r="FG13" i="20"/>
  <c r="FG14" i="20"/>
  <c r="FG2" i="20"/>
  <c r="FG6" i="20"/>
  <c r="FG9" i="20"/>
  <c r="FG12" i="20"/>
  <c r="FG10" i="20"/>
  <c r="FG11" i="20"/>
  <c r="FG5" i="20"/>
  <c r="O5" i="20"/>
  <c r="O3" i="20"/>
  <c r="O4" i="20"/>
  <c r="M13" i="19"/>
  <c r="N13" i="19"/>
  <c r="N15" i="19"/>
  <c r="M15" i="19"/>
  <c r="K50" i="19"/>
</calcChain>
</file>

<file path=xl/sharedStrings.xml><?xml version="1.0" encoding="utf-8"?>
<sst xmlns="http://schemas.openxmlformats.org/spreadsheetml/2006/main" count="7621" uniqueCount="677">
  <si>
    <t>GLH</t>
  </si>
  <si>
    <t>Grade</t>
  </si>
  <si>
    <t>P</t>
  </si>
  <si>
    <t>Points</t>
  </si>
  <si>
    <t>L1</t>
  </si>
  <si>
    <t>M</t>
  </si>
  <si>
    <t>D</t>
  </si>
  <si>
    <t>U</t>
  </si>
  <si>
    <t>Level 1</t>
  </si>
  <si>
    <t>Award - 120 GLH</t>
  </si>
  <si>
    <t>Sector</t>
  </si>
  <si>
    <t>Media</t>
  </si>
  <si>
    <t>Music</t>
  </si>
  <si>
    <t>Unit Name</t>
  </si>
  <si>
    <t>Core Units</t>
  </si>
  <si>
    <t>Internal</t>
  </si>
  <si>
    <t>Unit 1 - The Music Industry</t>
  </si>
  <si>
    <t xml:space="preserve">Unit 2 - Managing a Music Product </t>
  </si>
  <si>
    <t>Unit 1 - Digital Media Sectors and Audiences</t>
  </si>
  <si>
    <t xml:space="preserve">Unit 2 - Planning and Pitching a Digital Media Product </t>
  </si>
  <si>
    <t>Unit 3 - Digital Moving Image Production</t>
  </si>
  <si>
    <t>Unit 4 - Digital Audio Production</t>
  </si>
  <si>
    <t>Unit 5 - Digital Publishing Production</t>
  </si>
  <si>
    <t xml:space="preserve">Unit 6 - Website Production </t>
  </si>
  <si>
    <t>Unit 7 - Digital Games Production</t>
  </si>
  <si>
    <t>External</t>
  </si>
  <si>
    <t>Mandatory Units</t>
  </si>
  <si>
    <t>Unit 8 - Media Industry in Context</t>
  </si>
  <si>
    <t>Unit 8 - Music and Production Analysis</t>
  </si>
  <si>
    <t>Award Units</t>
  </si>
  <si>
    <t>Certificate Units - Group A</t>
  </si>
  <si>
    <t>Unit 3 - Introducing Live Sound</t>
  </si>
  <si>
    <t>Unit 4 - Introducing Music Composition</t>
  </si>
  <si>
    <t>Unit 5 - Introducing Music Performance</t>
  </si>
  <si>
    <t>Unit 6 - Introducing Music Recording</t>
  </si>
  <si>
    <t>Unit 7 - Introducing Music Sequencing</t>
  </si>
  <si>
    <t>Unit 9 - Introducing Choral Studies</t>
  </si>
  <si>
    <t>Unit 10 - Introducing Music Theory</t>
  </si>
  <si>
    <t xml:space="preserve">Unit 11 - Developing Solo Music Performance </t>
  </si>
  <si>
    <t>Unit 12 - The Development of Music</t>
  </si>
  <si>
    <t xml:space="preserve">Unit 13 - Developing Music Composition </t>
  </si>
  <si>
    <t xml:space="preserve">Unit 14 - Producing a Music Recording </t>
  </si>
  <si>
    <t xml:space="preserve">Unit 15 - Music Ensemble </t>
  </si>
  <si>
    <t>Unit 9 - Digital Editing for Moving Image</t>
  </si>
  <si>
    <t>Unit 10 - Digital Photography for a Media Product</t>
  </si>
  <si>
    <t>Unit 11 - Animation for Digital Media</t>
  </si>
  <si>
    <t xml:space="preserve">Unit 12 - Digital Audio Editing </t>
  </si>
  <si>
    <t>Unit 13 - Graphic Design for Digital Media</t>
  </si>
  <si>
    <t>Unit 14 - Writing for Digital Media</t>
  </si>
  <si>
    <t xml:space="preserve">Unit 15 - Digital Games Testing </t>
  </si>
  <si>
    <t>Art and Design</t>
  </si>
  <si>
    <t>Business</t>
  </si>
  <si>
    <t>Construction and the Built Environment</t>
  </si>
  <si>
    <t>Creative Digital Media Production</t>
  </si>
  <si>
    <t>Engineering</t>
  </si>
  <si>
    <t>Health and Social Care</t>
  </si>
  <si>
    <t>Hospitality</t>
  </si>
  <si>
    <t>Information and Creative Technology</t>
  </si>
  <si>
    <t>Performing Arts</t>
  </si>
  <si>
    <t>Sport</t>
  </si>
  <si>
    <t>Travel and Tourism</t>
  </si>
  <si>
    <t xml:space="preserve">Unit 1 - Introduction to Specialist Pathways in Art and Design </t>
  </si>
  <si>
    <t>Unit 2 - Creative Project in Art and Design</t>
  </si>
  <si>
    <t>Unit 1 - Enterprise in the Business World</t>
  </si>
  <si>
    <t>Unit 2 - Finance for Business</t>
  </si>
  <si>
    <t>Unit 1 - Patterns of Child Development</t>
  </si>
  <si>
    <t>Unit 2 - Promoting Children’s Development Through Play</t>
  </si>
  <si>
    <t xml:space="preserve">Unit 1 - Construction Technology </t>
  </si>
  <si>
    <t>Unit 1 - The Engineered World</t>
  </si>
  <si>
    <t xml:space="preserve">Unit 2 - Investigating an Engineering Product </t>
  </si>
  <si>
    <t>Unit 1 - Human Lifespan Development</t>
  </si>
  <si>
    <t>Unit 2 - Health and Social Care Values</t>
  </si>
  <si>
    <t>Unit 1 - Introducing the Hospitality Industry</t>
  </si>
  <si>
    <t>Unit 2 - Working in the Hospitality Industry</t>
  </si>
  <si>
    <t xml:space="preserve">Unit 1 - Individual Showcase </t>
  </si>
  <si>
    <t xml:space="preserve">Unit 2 - Preparation, Performance and Production </t>
  </si>
  <si>
    <t>Unit 1 - Fitness for Sport and Exercise</t>
  </si>
  <si>
    <t xml:space="preserve">Unit 2 - Practical Sports Performance </t>
  </si>
  <si>
    <t>Unit 1 - The UK Travel and Tourism Sector</t>
  </si>
  <si>
    <t xml:space="preserve">Unit 2 - UK Travel and Tourism Destinations </t>
  </si>
  <si>
    <t xml:space="preserve">Unit 3 - The Development of Travel and Tourism in the UK </t>
  </si>
  <si>
    <t xml:space="preserve">Unit 4 - International Travel and Tourism Destinations </t>
  </si>
  <si>
    <t>Unit 5 - Factors Affecting Worldwide Travel and Tourism</t>
  </si>
  <si>
    <t xml:space="preserve">Unit 6 -The Travel and Tourism Customer Experience </t>
  </si>
  <si>
    <t>Unit 3 - Communicating Ideas in 2D</t>
  </si>
  <si>
    <t xml:space="preserve">Unit 4 - Communicating Ideas in 3D </t>
  </si>
  <si>
    <t xml:space="preserve">Unit 5 - Developing an Art and Design Portfolio </t>
  </si>
  <si>
    <t xml:space="preserve">Unit 6 - Investigating Contextual References in Art and Design </t>
  </si>
  <si>
    <t>Unit 3 - Promoting a Brand</t>
  </si>
  <si>
    <t>Unit 4 - Principles of Customer Service</t>
  </si>
  <si>
    <t xml:space="preserve">Unit 5 - Sales and Personal Selling </t>
  </si>
  <si>
    <t>Unit 6 - Introducing Retail Business</t>
  </si>
  <si>
    <t xml:space="preserve">Unit 7 - Providing Business Support </t>
  </si>
  <si>
    <t xml:space="preserve">Unit 8 - Recruitment, Selection and Employment </t>
  </si>
  <si>
    <t>Unit 3 - The Principles of Early Years Practice</t>
  </si>
  <si>
    <t>Unit 3 - Scientific and Mathematical Applications for Construction</t>
  </si>
  <si>
    <t>Unit 4 - Construction Processes and Operations</t>
  </si>
  <si>
    <t>Unit 6 - Exploring Carpentry and Joinery Principles and Techniques</t>
  </si>
  <si>
    <t>Unit 7 - Exploring Brickwork and Blockwork Principles and Techniques</t>
  </si>
  <si>
    <t>Unit 8 - Exploring Painting and Decorating Principles and Techniques</t>
  </si>
  <si>
    <t>Unit 9 - Exploring Plumbing Principles and Techniques</t>
  </si>
  <si>
    <t>Unit 10 - Exploring Electrical Principles and Techniques</t>
  </si>
  <si>
    <t>Unit 3 - Health and Safety in Engineering</t>
  </si>
  <si>
    <t>Unit 4 - Engineering Maintenance</t>
  </si>
  <si>
    <t>Unit 5 - Engineering Materials</t>
  </si>
  <si>
    <t>Unit 6 - Computer-aided Engineering</t>
  </si>
  <si>
    <t>Unit 7 - Machining Techniques</t>
  </si>
  <si>
    <t>Unit 8 - Electronic Circuit Design and Construction</t>
  </si>
  <si>
    <t xml:space="preserve">Unit 3 - Effective Communication in Health and Social Care </t>
  </si>
  <si>
    <t xml:space="preserve">Unit 4 - Social Influences on Health and Wellbeing </t>
  </si>
  <si>
    <t xml:space="preserve">Unit 5 - Promoting Health and Wellbeing </t>
  </si>
  <si>
    <t xml:space="preserve">Unit 6 - The Impact of Nutrition on Health and Wellbeing </t>
  </si>
  <si>
    <t xml:space="preserve">Unit 7 - Equality and Diversity in Health and Social Care </t>
  </si>
  <si>
    <t>Unit 8 - Individual Rights in Health and Social Care</t>
  </si>
  <si>
    <t>Unit 3 - Food Safety and Health and Safety in Hospitality</t>
  </si>
  <si>
    <t>Unit 4 - Costing and Controlling Finances in the Hospitality Industry</t>
  </si>
  <si>
    <t>Unit 5 - Enterprise in the Hospitality Industry</t>
  </si>
  <si>
    <t>Unit 6 - Planning, Preparing, Cooking and Finishing Food</t>
  </si>
  <si>
    <t>Unit 7 - Food and Beverage Service in the Hospitality Industry</t>
  </si>
  <si>
    <t>Unit 8 - Front Office Services in the Hospitality Industry</t>
  </si>
  <si>
    <t>Unit 3 - Acting Skills</t>
  </si>
  <si>
    <t>Unit 4 - Dance Skills</t>
  </si>
  <si>
    <t xml:space="preserve">Unit 5 - Musical Theatre Skills </t>
  </si>
  <si>
    <t>Unit 6 - Music Performance Skills</t>
  </si>
  <si>
    <t>Unit 7 - Production Skills for Performance</t>
  </si>
  <si>
    <t>Unit 3 - The Mind and Sports Performance</t>
  </si>
  <si>
    <t>Unit 4 - The Sports Performer in Action</t>
  </si>
  <si>
    <t>Unit 5 - Training for Personal Fitness</t>
  </si>
  <si>
    <t>Unit 6 - Leading Sports Activities</t>
  </si>
  <si>
    <t>CPLD</t>
  </si>
  <si>
    <t>Construction</t>
  </si>
  <si>
    <t>CDMP</t>
  </si>
  <si>
    <t>H&amp;SC</t>
  </si>
  <si>
    <t>Unit 5 - Construction Drawing Techniques</t>
  </si>
  <si>
    <t>Core</t>
  </si>
  <si>
    <t>Unit 3 - A Digital Portfolio</t>
  </si>
  <si>
    <t xml:space="preserve">Unit 1 - The Online World </t>
  </si>
  <si>
    <t xml:space="preserve">Unit 2 - Technology Systems </t>
  </si>
  <si>
    <t>ICT Opt</t>
  </si>
  <si>
    <t>ICT Mand</t>
  </si>
  <si>
    <t>Unit 5 - Creating Digital Audio</t>
  </si>
  <si>
    <t>Unit 6 - Creating Digital Graphics</t>
  </si>
  <si>
    <t>Unit 7 - Creating Digital Video</t>
  </si>
  <si>
    <t>Unit 9 - Spreadsheet Development</t>
  </si>
  <si>
    <t>Unit 11 - Computer Networks</t>
  </si>
  <si>
    <t>Unit 13 - Website Development</t>
  </si>
  <si>
    <t>Applied Science</t>
  </si>
  <si>
    <t>Type</t>
  </si>
  <si>
    <t>Unit 5 - Application of Chemical Substances</t>
  </si>
  <si>
    <t xml:space="preserve">Unit 6 - Application of Physical Science </t>
  </si>
  <si>
    <t xml:space="preserve">Unit 7 - Health Applications of Life Science </t>
  </si>
  <si>
    <t xml:space="preserve">Unit 8 - Scientific Skills </t>
  </si>
  <si>
    <t>Unit 2 - Construction and Design</t>
  </si>
  <si>
    <t>Select Sector</t>
  </si>
  <si>
    <t>Level 2 Pass</t>
  </si>
  <si>
    <t>Level 2 Distinction</t>
  </si>
  <si>
    <t>Level 2 Distinction*</t>
  </si>
  <si>
    <t>Level 2 Merit</t>
  </si>
  <si>
    <t>Unit 1</t>
  </si>
  <si>
    <t>Unit 2</t>
  </si>
  <si>
    <t>Unit 3</t>
  </si>
  <si>
    <t>Unit 4</t>
  </si>
  <si>
    <t>A</t>
  </si>
  <si>
    <t>B</t>
  </si>
  <si>
    <t>Score</t>
  </si>
  <si>
    <t>Unit 1 - ICT TEST</t>
  </si>
  <si>
    <t>Unit 2 - ICT TEST</t>
  </si>
  <si>
    <t>Unit 1 or 2 - Optional Core Unit</t>
  </si>
  <si>
    <t>Public Services</t>
  </si>
  <si>
    <t>Unit 2 - Working Skills in the Public Service Sector</t>
  </si>
  <si>
    <t>Unit 1 - The Role and Work of the Public Services</t>
  </si>
  <si>
    <t>Unit 3 - Employment in the Public Services</t>
  </si>
  <si>
    <t xml:space="preserve">Unit 4 - Public Services and Community Protection </t>
  </si>
  <si>
    <t>Unit 5 - Health, Fitness and Lifestyle for the Public Services</t>
  </si>
  <si>
    <t>Unit Type</t>
  </si>
  <si>
    <t>Requirements</t>
  </si>
  <si>
    <t>Mandatory</t>
  </si>
  <si>
    <t>Optional A</t>
  </si>
  <si>
    <t>Optional B</t>
  </si>
  <si>
    <t>Issues</t>
  </si>
  <si>
    <t>Art and Design Design Crafts</t>
  </si>
  <si>
    <t>Art and Design Fashion and Textiles</t>
  </si>
  <si>
    <t>Art and Design Photography</t>
  </si>
  <si>
    <t>Art and Design Product Design</t>
  </si>
  <si>
    <t>Art and Design Visual Arts</t>
  </si>
  <si>
    <t>Art and Design Visual Communication</t>
  </si>
  <si>
    <t>Performing Arts Acting</t>
  </si>
  <si>
    <t>Performing Arts Dance</t>
  </si>
  <si>
    <t>Performing Arts Musical Theatre</t>
  </si>
  <si>
    <t>Performing Arts Production</t>
  </si>
  <si>
    <t>Rules</t>
  </si>
  <si>
    <t>Units 1 and 2</t>
  </si>
  <si>
    <t>Units 1 or 2 and 3</t>
  </si>
  <si>
    <t>Units 6 and 7</t>
  </si>
  <si>
    <t>Units 6, 7 and 9</t>
  </si>
  <si>
    <t>Units 6, 7, 10 and 12</t>
  </si>
  <si>
    <t>Units 6, 7 and 14</t>
  </si>
  <si>
    <t>Units 6, 7 and 15</t>
  </si>
  <si>
    <t>Units 6, 7 and 13</t>
  </si>
  <si>
    <t>Units 6, 7 and 11</t>
  </si>
  <si>
    <t>Unit 9</t>
  </si>
  <si>
    <t>Units 3 and 4</t>
  </si>
  <si>
    <t>Units 3 and 11</t>
  </si>
  <si>
    <t>Unit 8</t>
  </si>
  <si>
    <t>Units 9 and 10</t>
  </si>
  <si>
    <t>Units 3 and 9</t>
  </si>
  <si>
    <t>None</t>
  </si>
  <si>
    <t>Units 3 and 8</t>
  </si>
  <si>
    <t>Units 4 and 8</t>
  </si>
  <si>
    <t>Units 5 and 8</t>
  </si>
  <si>
    <t>Units 7 and 8</t>
  </si>
  <si>
    <t>Unit 7</t>
  </si>
  <si>
    <t>Units 4 and 7</t>
  </si>
  <si>
    <t>Choose remaining units from this group</t>
  </si>
  <si>
    <t>No optional units available</t>
  </si>
  <si>
    <t>Choose remaining units from this group NB - Unit 3 cannot be taken with Unit 11</t>
  </si>
  <si>
    <t>Learners must complete at least two units from this group</t>
  </si>
  <si>
    <t>At least one unit from this group</t>
  </si>
  <si>
    <t>Choose three units from this group</t>
  </si>
  <si>
    <t>Minimum two units from this group</t>
  </si>
  <si>
    <t>No optional units from this group available</t>
  </si>
  <si>
    <t>No limit to units chosen from this group</t>
  </si>
  <si>
    <t>At least one Optional B Unit Required</t>
  </si>
  <si>
    <t>At least one unit from this group. NB - Unit 6 is a compulsory prerequisite of Unit 13</t>
  </si>
  <si>
    <t>Choose one unit from this group</t>
  </si>
  <si>
    <t>One Optional B Unit Required</t>
  </si>
  <si>
    <t>Maximum one unit from this group</t>
  </si>
  <si>
    <t>Level 2 PP</t>
  </si>
  <si>
    <t>Level 2 MP</t>
  </si>
  <si>
    <t>Level 2 MM</t>
  </si>
  <si>
    <t>Level 2 DM</t>
  </si>
  <si>
    <t>Level 2 DD</t>
  </si>
  <si>
    <t>Level 2 D*D</t>
  </si>
  <si>
    <t>Level 2 D*D*</t>
  </si>
  <si>
    <t>Hospitality A</t>
  </si>
  <si>
    <t>Music A</t>
  </si>
  <si>
    <t>Group B</t>
  </si>
  <si>
    <t>Performing Arts (Acting)</t>
  </si>
  <si>
    <t>Performing Arts (Dance)</t>
  </si>
  <si>
    <t>Performing Arts (Musical Theatre)</t>
  </si>
  <si>
    <t>Performing Arts (Production)</t>
  </si>
  <si>
    <t>CDMP Optional B</t>
  </si>
  <si>
    <t>A&amp;D Design Crafts</t>
  </si>
  <si>
    <t>A&amp;D Photography</t>
  </si>
  <si>
    <t>A&amp;D Product Design</t>
  </si>
  <si>
    <t>A&amp;D Visual Arts</t>
  </si>
  <si>
    <t>A&amp;D Visual Communication</t>
  </si>
  <si>
    <t>No Optional Group B</t>
  </si>
  <si>
    <t>Hospitality B</t>
  </si>
  <si>
    <t>Music B</t>
  </si>
  <si>
    <t>Unit 5 - Health and Safety in Early Years Settings</t>
  </si>
  <si>
    <t>Unit 4 - Social Influences on Health and Wellbeing</t>
  </si>
  <si>
    <t>Unit 1 - The Online World</t>
  </si>
  <si>
    <t>Unit 4 - Creating Digital Animation</t>
  </si>
  <si>
    <t>Unit 9 - Performance in Context</t>
  </si>
  <si>
    <t>Unit 16 - Contemporary Dance Techniques</t>
  </si>
  <si>
    <t>Only one optional unit from Group B permitted</t>
  </si>
  <si>
    <t>Unit 14 - Voice and Speech for Performers</t>
  </si>
  <si>
    <t>Unit 15 - Performing Scripted Plays</t>
  </si>
  <si>
    <t>Unit 11 - Devising Performance Work</t>
  </si>
  <si>
    <t>Unit 3 - The Development of Travel and Tourism in the UK</t>
  </si>
  <si>
    <t>Unit 5 - Developing an Art and Design Portfolio</t>
  </si>
  <si>
    <t>Unit 4 - Communicating Ideas in 3D</t>
  </si>
  <si>
    <t>N/A</t>
  </si>
  <si>
    <t>Unit 6 - Supporting Children’s Language and Literacy Development</t>
  </si>
  <si>
    <t>Unit 5 - Promoting Health and Wellbeing</t>
  </si>
  <si>
    <t>Unit 2 - Technology Systems</t>
  </si>
  <si>
    <t>Unit 10 - Movement Skills</t>
  </si>
  <si>
    <t>Unit 17 - Exploring Urban Dance Styles</t>
  </si>
  <si>
    <t>Unit 19 - Design Planning for Performance</t>
  </si>
  <si>
    <t>Unit 8 - Using Mobile Devices in Art and Design</t>
  </si>
  <si>
    <t>Unit 5 - Sales and Personal Selling</t>
  </si>
  <si>
    <t>Unit 7 - Making Healthy Food Choices for Children</t>
  </si>
  <si>
    <t>Unit 6 - The Impact of Nutrition on Health and Wellbeing</t>
  </si>
  <si>
    <t>Unit 10 - Marketing and Promotion in Hospitality</t>
  </si>
  <si>
    <t>Unit 5 - Musical Theatre Skills</t>
  </si>
  <si>
    <t>Unit 18 - Jazz Dance Techniques</t>
  </si>
  <si>
    <t>Unit 20 - Realising Costume Design for Performance</t>
  </si>
  <si>
    <t>Unit 6 -The Travel and Tourism Customer Experience</t>
  </si>
  <si>
    <t>Unit 10 - Fashion Briefs</t>
  </si>
  <si>
    <t>Unit 9 - Design Crafts Briefs</t>
  </si>
  <si>
    <t>Unit 8 - Introduction to Working in the Early Years Sector</t>
  </si>
  <si>
    <t>Unit 6 - Website Production</t>
  </si>
  <si>
    <t>Unit 7 - Equality and Diversity in Health and Social Care</t>
  </si>
  <si>
    <t>Unit 12 - Exploring Improvisation</t>
  </si>
  <si>
    <t>Unit 21 - Realising Set Design for Performance</t>
  </si>
  <si>
    <t>Unit 8 - Promotion and Sales in Travel and Tourism</t>
  </si>
  <si>
    <t>Unit 12 - Digital Audio Editing</t>
  </si>
  <si>
    <t>Unit 12 - Textiles Briefs</t>
  </si>
  <si>
    <t>Unit 11 - Accommodation Services in the Hospitality Industry</t>
  </si>
  <si>
    <t>Unit 8 - Mobile Apps Development</t>
  </si>
  <si>
    <t>Unit 13 - Multimedia Performance</t>
  </si>
  <si>
    <t>Unit 22 - Realising Prop Design for Performance</t>
  </si>
  <si>
    <t>Unit 8 - Promotion and Sponsorship in Sport</t>
  </si>
  <si>
    <t>Unit 9 - Travel and Tourism Employment Opportunities</t>
  </si>
  <si>
    <t>Unit 15 - Designing for the Future</t>
  </si>
  <si>
    <t>Unit 11 - Graphic Design Briefs</t>
  </si>
  <si>
    <t>Unit 14 - Photography Briefs</t>
  </si>
  <si>
    <t>Unit 12 - Planning and Running a Hospitality Event</t>
  </si>
  <si>
    <t>Unit 10 - Human Body Systems and Care of Disorders</t>
  </si>
  <si>
    <t>Unit 23 - Realising Mask Design for Performance</t>
  </si>
  <si>
    <t>Unit 9 - Lifestyle and Well-being</t>
  </si>
  <si>
    <t>Unit 10 - Organising a Travel and Tourism Study Visit</t>
  </si>
  <si>
    <t>Unit 13 - Contemporary World Food Cooking Skills</t>
  </si>
  <si>
    <t>Unit 11 - Electrical and Mechanical Science for Engineering</t>
  </si>
  <si>
    <t>Unit 11 - Services in Health and Social Care</t>
  </si>
  <si>
    <t>Unit 10 - Database Development</t>
  </si>
  <si>
    <t>Unit 24 - Lighting for Performance</t>
  </si>
  <si>
    <t>Unit 10 - Injury and the Sports Performer</t>
  </si>
  <si>
    <t>Unit 12 - The Construction Industry</t>
  </si>
  <si>
    <t>Unit 12 - Engineering Design</t>
  </si>
  <si>
    <t>Unit 12 - Creative and Therapeutic Activities in Health and Social Care</t>
  </si>
  <si>
    <t>Unit 25 - Sound for Performance</t>
  </si>
  <si>
    <t>Unit 11 - Running a Sports Event</t>
  </si>
  <si>
    <t>Unit 13 - Exploring Roofing Principles and Techniques</t>
  </si>
  <si>
    <t>Unit 13 - Engineering Assembly</t>
  </si>
  <si>
    <t>Unit 12 - Software Development</t>
  </si>
  <si>
    <t>Unit 28 - Make-up for Performance</t>
  </si>
  <si>
    <t>Unit 12 - The Sport and Active Leisure Industry</t>
  </si>
  <si>
    <t>Unit 14 - Exploring Wall and Floor Tiling Principles and Techniques</t>
  </si>
  <si>
    <t>Unit 14 - Vehicle Engines and Other Systems</t>
  </si>
  <si>
    <t>Unit 29 - Wardrobe for Stage Performance</t>
  </si>
  <si>
    <t>Unit 15 - Exploring Plastering and Dry Lining Principles and Techniques</t>
  </si>
  <si>
    <t>Unit 14 - Installing and Maintaining Computer Hardware</t>
  </si>
  <si>
    <t>Unit 15 - Installing and Maintaining Computer Software</t>
  </si>
  <si>
    <t>Unit 16 - Automated Computer Systems</t>
  </si>
  <si>
    <t>Unit 17 - Multimedia Products Development</t>
  </si>
  <si>
    <t>Unit 26 - Supporting Performance: Stage Management</t>
  </si>
  <si>
    <t>Unit 27 - Supporting Performance: Front of House</t>
  </si>
  <si>
    <t>Certificate Units</t>
  </si>
  <si>
    <t>Group</t>
  </si>
  <si>
    <t xml:space="preserve">Unit 9 - Performance in Context </t>
  </si>
  <si>
    <t xml:space="preserve">Unit 11 - Devising Performance Work </t>
  </si>
  <si>
    <t>Unit 6 - Investigating Contextual References in Art and Design</t>
  </si>
  <si>
    <t>Unit 7 - Recording for Creative Intentions in Art and Design</t>
  </si>
  <si>
    <t>Unit 9 - Principles of Marketing</t>
  </si>
  <si>
    <t xml:space="preserve">Unit 18 - Jazz Dance Techniques </t>
  </si>
  <si>
    <t xml:space="preserve">Unit 19 - Design Planning for Performance </t>
  </si>
  <si>
    <t xml:space="preserve">Unit 2 - Construction Technology </t>
  </si>
  <si>
    <t>Unit 13 - Visual Arts Briefs</t>
  </si>
  <si>
    <t xml:space="preserve">Unit 21 - Realising Set Design for Performance </t>
  </si>
  <si>
    <t>Unit 9 - Interpreting and Using Engineering Information</t>
  </si>
  <si>
    <t>Unit 3 - Effective Communication in Health and Social Care</t>
  </si>
  <si>
    <t xml:space="preserve">Unit 24 - Lighting for Performance </t>
  </si>
  <si>
    <t>Unit 7 - Providing Business Support</t>
  </si>
  <si>
    <t>Unit 8 - Recruitment, Selection and Employment</t>
  </si>
  <si>
    <t>Unit 10 - Using Business Documentation</t>
  </si>
  <si>
    <t>Unit 7 - Anatomy and Physiology for Sports Performance</t>
  </si>
  <si>
    <t>Unit 11 - Building Successful Business Teams</t>
  </si>
  <si>
    <t>Unit 12 - Introducing Law and Consumer Rights</t>
  </si>
  <si>
    <t>Unit 13 - Financial Planning and Forecasting</t>
  </si>
  <si>
    <t>Unit 14 - Business Online</t>
  </si>
  <si>
    <t>Unit 15 - Public Sector Business</t>
  </si>
  <si>
    <t xml:space="preserve"> </t>
  </si>
  <si>
    <t>Unit 4 - Promoting Children’s Positive Behaviour</t>
  </si>
  <si>
    <t>Unit 11 - Sustainability in Construction</t>
  </si>
  <si>
    <t>Unit 10 - Mathematics for Engineering</t>
  </si>
  <si>
    <t xml:space="preserve">Unit 9 - Healthy Living </t>
  </si>
  <si>
    <t xml:space="preserve">Unit 8 - The Performing Arts Industry </t>
  </si>
  <si>
    <t>Unit 7 - Travel and Tourism Business Environments</t>
  </si>
  <si>
    <t>Unit 15 - Digital Games Testing</t>
  </si>
  <si>
    <t xml:space="preserve">Unit 12 - Exploring Improvisation </t>
  </si>
  <si>
    <t>Unit 11 - Developing Solo Music Performance</t>
  </si>
  <si>
    <t>Unit 13 - Developing Music Composition</t>
  </si>
  <si>
    <t>Unit 14 - Producing a Music Recording</t>
  </si>
  <si>
    <t>Unit 15 - Music Ensemble</t>
  </si>
  <si>
    <t xml:space="preserve">Unit 26 - Supporting Performance: Stage Management </t>
  </si>
  <si>
    <t>Unit 9 - How the Hospitality Industry Contributes to Healthy Lifestyles</t>
  </si>
  <si>
    <t>ICT</t>
  </si>
  <si>
    <t>Principles of Applied Science</t>
  </si>
  <si>
    <t>Application of Science</t>
  </si>
  <si>
    <t>Unit 1 - Principles of Science</t>
  </si>
  <si>
    <t>Unit 2 - Chemistry and Our Earth</t>
  </si>
  <si>
    <t>Unit 3 - Energy and Our Universe</t>
  </si>
  <si>
    <t>Unit 4 - Biology and Our Environment</t>
  </si>
  <si>
    <t>Award</t>
  </si>
  <si>
    <t>Certificate</t>
  </si>
  <si>
    <t>Unit</t>
  </si>
  <si>
    <t>Hosp Mand</t>
  </si>
  <si>
    <t xml:space="preserve">Unit 2 - Investigating an Engineered Product </t>
  </si>
  <si>
    <t>Unit 1 - Introduction to Specialist Pathways in Art and Design</t>
  </si>
  <si>
    <t xml:space="preserve"> Points</t>
  </si>
  <si>
    <t xml:space="preserve"> Grade</t>
  </si>
  <si>
    <t xml:space="preserve">    Certificate - 240 GLH</t>
  </si>
  <si>
    <t>Start -&gt;</t>
  </si>
  <si>
    <t>Ext Certificate Units</t>
  </si>
  <si>
    <t>Unit 16 - Enhancing the Customer Experience</t>
  </si>
  <si>
    <t>Unit 17 - Visual Merchandising in Retail Business</t>
  </si>
  <si>
    <t>Extended Certificate</t>
  </si>
  <si>
    <t>Unit 2 - Chemistry and our Earth</t>
  </si>
  <si>
    <t>Unit 3 - Energy and out Universe</t>
  </si>
  <si>
    <t>Unit 4 - Biology and our Environment</t>
  </si>
  <si>
    <t>Unit 5 - Applications of Chemical Substances</t>
  </si>
  <si>
    <t>Unit 6 - Applications of Physical Science</t>
  </si>
  <si>
    <t>Unit 7 - Health Applications of Life Science</t>
  </si>
  <si>
    <t>Unit 8 - Scientific Skills</t>
  </si>
  <si>
    <t xml:space="preserve">Unit 9 - Practical Scientific Project </t>
  </si>
  <si>
    <t>Unit 10 - World Energy</t>
  </si>
  <si>
    <t xml:space="preserve">Unit 11 - How Scientific Theories are Formulated </t>
  </si>
  <si>
    <t>Unit 12 - The Living Body</t>
  </si>
  <si>
    <t xml:space="preserve">Unit 13 - Monitoring the Environment </t>
  </si>
  <si>
    <t xml:space="preserve">Unit 14 - Growing Plants for Food </t>
  </si>
  <si>
    <t xml:space="preserve">Unit 15 - Investigating a Crime Scene </t>
  </si>
  <si>
    <t xml:space="preserve">Unit 16 - Science in Medicine </t>
  </si>
  <si>
    <t xml:space="preserve">Unit 17 - Understanding Human Behaviour </t>
  </si>
  <si>
    <t>Unit 18 - Designing and Making Useful Devices in Science</t>
  </si>
  <si>
    <t xml:space="preserve">Unit 19 - Chemical Analysis and Detection </t>
  </si>
  <si>
    <t xml:space="preserve">Unit 20 - Exploring our Universe </t>
  </si>
  <si>
    <t>Unit 21 - Electronics in Action</t>
  </si>
  <si>
    <t>Unit 22 - Biotechnology Procedures and Applications</t>
  </si>
  <si>
    <t xml:space="preserve">Unit 23 - Further Chemistry </t>
  </si>
  <si>
    <t>Unit 24 - Further Physics</t>
  </si>
  <si>
    <t>Unit 16 - Applying Contextual References in Art and Design</t>
  </si>
  <si>
    <t>Unit 18 - 3D Design Briefs</t>
  </si>
  <si>
    <t>Unit 19 - Digital Art and Design Briefs</t>
  </si>
  <si>
    <t>Unit 21 - Painting Briefs</t>
  </si>
  <si>
    <t>Unit 22 - Designing Products</t>
  </si>
  <si>
    <t>Unit 16 - Carpentry and Joinery Operations</t>
  </si>
  <si>
    <t>Unit 17 - Brickwork and Blockwork Operations</t>
  </si>
  <si>
    <t>Unit 18 - Painting and Paperhanging Operations</t>
  </si>
  <si>
    <t>Unit 19 - Plumbing Operations</t>
  </si>
  <si>
    <t>Unit 20 - Electrical Operations</t>
  </si>
  <si>
    <t xml:space="preserve">Unit 16 - Digital Art for a Media Product </t>
  </si>
  <si>
    <t xml:space="preserve">Unit 17 - Digital Audio Mixing </t>
  </si>
  <si>
    <t xml:space="preserve">Unit 18 - Lighting for Moving Image  </t>
  </si>
  <si>
    <t>Unit 16 - Vehicle Electrical Systems</t>
  </si>
  <si>
    <t>Unit 18 - Computer Numerical Control Programming</t>
  </si>
  <si>
    <t>Unit 15 - Operating an Efficient Workplace</t>
  </si>
  <si>
    <t>Unit 17 - Welding</t>
  </si>
  <si>
    <t>Unit 19 - Bicycle Servicing and Maintenance</t>
  </si>
  <si>
    <t>Unit 20 - Sustainable Vehicle Power and Structure Design</t>
  </si>
  <si>
    <t>Unit 13 - The Health and Social Care Sector</t>
  </si>
  <si>
    <t>Unit 14 - The Early Years Sector</t>
  </si>
  <si>
    <t>Done</t>
  </si>
  <si>
    <t>Unit 16 - Holiday Representatives</t>
  </si>
  <si>
    <t>Unit 17 - UK Travel Agency Operations</t>
  </si>
  <si>
    <t>Unit 18 - The Cruise Industry</t>
  </si>
  <si>
    <t>Unit 19 - Hospitality Operations in the Travel and Tourism 
Sector</t>
  </si>
  <si>
    <t>Unit 20 - UK Visitor Attractions</t>
  </si>
  <si>
    <t>Diploma</t>
  </si>
  <si>
    <t>Group C</t>
  </si>
  <si>
    <t>Optional C</t>
  </si>
  <si>
    <t>Unit 13 - Profiling Sports Performance</t>
  </si>
  <si>
    <t>Unit 17 - Art, Craft and Design in the Creative Industries</t>
  </si>
  <si>
    <t>A&amp;D Fashion &amp; Textiles</t>
  </si>
  <si>
    <t>Unit 20 - Interactive Media Production Briefs</t>
  </si>
  <si>
    <t>Unit 14 - Teamwork in Hospitality</t>
  </si>
  <si>
    <t>Unit 15 - Menu Planning</t>
  </si>
  <si>
    <t>Unit 16 - Managing Finance in Hospitality</t>
  </si>
  <si>
    <t>Unit 17 - Alcohol Awareness in Hospitality</t>
  </si>
  <si>
    <t>Unit 16 - Music Showcase</t>
  </si>
  <si>
    <t>Unit 17 - Researching a Music Topic</t>
  </si>
  <si>
    <t>Unit 18 - Developing Modern Music Production Skills</t>
  </si>
  <si>
    <t>Unit 19 - Developing Music Theory</t>
  </si>
  <si>
    <t>Unit 20 - Music Fusion</t>
  </si>
  <si>
    <t>Unit 21 - Music Arrangement</t>
  </si>
  <si>
    <t>Unit 22 - Exploring Music Improvisation</t>
  </si>
  <si>
    <t>Unit 23 - Exploring Djing</t>
  </si>
  <si>
    <t>Unit 6 - Citizenship, Society and the Public Services</t>
  </si>
  <si>
    <t>Unit 7 - Crime and its Effects on Society and Individuals</t>
  </si>
  <si>
    <t>Unit 4 - Public Services and Community Protection</t>
  </si>
  <si>
    <t>Unit 8 - Promotion of Public Service Provision</t>
  </si>
  <si>
    <t>Unit 9 - Community and Cultural Awareness</t>
  </si>
  <si>
    <t>Unit 10 - Adventurous Activities in the Public Services</t>
  </si>
  <si>
    <t>Unit 11 - Sport and Recreation in the Public Services</t>
  </si>
  <si>
    <t>Unit 12 - Land Navigation by Map and Compass</t>
  </si>
  <si>
    <t>Unit 13 - Volunteering for the Public Services</t>
  </si>
  <si>
    <t>Unit 14 - Multi-day Expedition Experience</t>
  </si>
  <si>
    <t>Unit 15 - Health and Safety in the Public Services</t>
  </si>
  <si>
    <t>Unit 16 - Employability Skills in the Public Services</t>
  </si>
  <si>
    <t>Unit 17 - Preparing to Respond to Emergency Incidents</t>
  </si>
  <si>
    <t>Unit 18 - Security Procedures in the Public Services</t>
  </si>
  <si>
    <t>Ext Cert</t>
  </si>
  <si>
    <t>360 GLH</t>
  </si>
  <si>
    <t>Animal Care</t>
  </si>
  <si>
    <t>Unit 1 - Animal Health</t>
  </si>
  <si>
    <t>Unit 2 - Animal Handling</t>
  </si>
  <si>
    <t>Unit 3 - Animal Welfare</t>
  </si>
  <si>
    <t>Unit 4 - Animal Housing and Accommodation</t>
  </si>
  <si>
    <t>Unit 5 - Principles of Animal Behaviour</t>
  </si>
  <si>
    <t>For the best experience please enable Macros. The workbook will function without but it is recommended.</t>
  </si>
  <si>
    <t>Unit 23 - Practical Research Project in Art and Design</t>
  </si>
  <si>
    <t>Unit 24 - Design Thinking</t>
  </si>
  <si>
    <t>Unit 25 - Fashion Promotion</t>
  </si>
  <si>
    <t>Unit 26 - Moving Image Briefs</t>
  </si>
  <si>
    <t>Unit 27 - Interaction Design</t>
  </si>
  <si>
    <t>Unit 28 - Printmaking Briefs</t>
  </si>
  <si>
    <t>Unit 29 - Drawing from Observation</t>
  </si>
  <si>
    <t>Unit 30 - Ceramics</t>
  </si>
  <si>
    <t>Unit 40 - Sculpture</t>
  </si>
  <si>
    <t>Unit 31 - Studio Photography</t>
  </si>
  <si>
    <t>Unit 32 - Location Photography</t>
  </si>
  <si>
    <t>Unit 33 - Designing for Print and Screen</t>
  </si>
  <si>
    <t>Unit 34 - Editing Photographic Images</t>
  </si>
  <si>
    <t>Unit 35 - Fashion Retail</t>
  </si>
  <si>
    <t>Unit 36 - Surface Design</t>
  </si>
  <si>
    <t>Unit 37 - Sustainability in Art and Design Practice</t>
  </si>
  <si>
    <t>Unit 38 - Advertising Briefs</t>
  </si>
  <si>
    <t>Unit 39 - Modelmaking</t>
  </si>
  <si>
    <t>480 GLH</t>
  </si>
  <si>
    <t>Unit 12 - Textile Briefs</t>
  </si>
  <si>
    <t>Diploma Units</t>
  </si>
  <si>
    <t>Unit 19 - Introducing Project Management</t>
  </si>
  <si>
    <t>Unit 18 - Small Business Planning</t>
  </si>
  <si>
    <t>Unit 20 - Delivering and Improving Customer Service</t>
  </si>
  <si>
    <t>Unit 21 - Effective Business Communication</t>
  </si>
  <si>
    <t>Unit 22 - Working in Business Teams</t>
  </si>
  <si>
    <t>Unit 23 - Planning, Forecasting and Recording Business Finances</t>
  </si>
  <si>
    <t>Unit 24 - Work Experience in Business</t>
  </si>
  <si>
    <t>Unit 25 - Introducing International Business</t>
  </si>
  <si>
    <t>Unit 26 - Introducing the Economic Environment</t>
  </si>
  <si>
    <t>Unit 27 - Efficient Business Operations</t>
  </si>
  <si>
    <t>Unit 28 - Principles of Procurement and Supply</t>
  </si>
  <si>
    <t>Unit 29 - Implementing Procurement and Supply in Business</t>
  </si>
  <si>
    <t>Unit 30 - Corporate Social Responsibility</t>
  </si>
  <si>
    <t>Unit 31 - Managing Personal Finances</t>
  </si>
  <si>
    <t>Unit 32 - Sustainability in the Business Workplace</t>
  </si>
  <si>
    <t>Business A</t>
  </si>
  <si>
    <t>Business B</t>
  </si>
  <si>
    <t>Unit 21 - Maintenance and Adaptation of Buildings</t>
  </si>
  <si>
    <t>Construction A</t>
  </si>
  <si>
    <t>Construction B</t>
  </si>
  <si>
    <t>Unit 27 - Construction Work Experience</t>
  </si>
  <si>
    <t>Unit 22 - Tendering and Estimating</t>
  </si>
  <si>
    <t>Unit 23 - Exploring Surveying</t>
  </si>
  <si>
    <t>Unit 24 - Exploring Civil Engineering</t>
  </si>
  <si>
    <t>Unit 25 - Exploring Building Services Engineering</t>
  </si>
  <si>
    <t>Unit 26 - Exploring Facilities Management</t>
  </si>
  <si>
    <t>Unit 28 - Communications for Construction and the Built Environment</t>
  </si>
  <si>
    <t>Unit 22 - Final Digital Production Project</t>
  </si>
  <si>
    <t>Unit 21 - Deconstructing Media Products</t>
  </si>
  <si>
    <t>Unit 19 - Advertising Production</t>
  </si>
  <si>
    <t>Unit 20 - Factual Media Production</t>
  </si>
  <si>
    <t>CDMP A</t>
  </si>
  <si>
    <t>CDMP B</t>
  </si>
  <si>
    <t>CDMP C</t>
  </si>
  <si>
    <t>Unit 16 - Digital Art for a Media Product</t>
  </si>
  <si>
    <t>Unit 17 - Digital Audio Mixing</t>
  </si>
  <si>
    <t>Unit 18 - Lighting for Moving Image</t>
  </si>
  <si>
    <t>Unit 21 - Introduction to Communications for Engineering</t>
  </si>
  <si>
    <t>Engineering B</t>
  </si>
  <si>
    <t>Unit 22 - Continuous Improvement and Problem-Solving</t>
  </si>
  <si>
    <t>Unit 23 - Electronic Devices and Communication Applications</t>
  </si>
  <si>
    <t>Unit 24 - Operation and Maintenance of Mechanical Systems and 
Components</t>
  </si>
  <si>
    <t>Unit 25 - Operation and Maintenance of Electronic Systems and 
Components</t>
  </si>
  <si>
    <t>Unit 26 - Operation and Maintenance of Electrical Systems and 
Components</t>
  </si>
  <si>
    <t>Unit 27 - Operation and Maintenance of Fluid Power Systems 
and Components</t>
  </si>
  <si>
    <t>Unit 28 - Fabrication Techniques</t>
  </si>
  <si>
    <t>Unit 29 - Casting Techniques</t>
  </si>
  <si>
    <t>Unit 30 - Vehicle Maintenance Techniques</t>
  </si>
  <si>
    <t>Unit 31 - Production Planning for Engineering</t>
  </si>
  <si>
    <t>Unit 32 - Engineering Marking Out</t>
  </si>
  <si>
    <t>Unit 33 - Preparing and Controlling Engineering Manufacturing 
Operations</t>
  </si>
  <si>
    <t>Unit 34 - PC Software and Hardware in Engineering</t>
  </si>
  <si>
    <t>Unit 35 - Application of Quality Control and Measurement in 
Engineering</t>
  </si>
  <si>
    <t>Unit 24 - Operation and Maintenance of Mechanical Systems and Components</t>
  </si>
  <si>
    <t>Unit 25 - Operation and Maintenance of Electronic Systems and Components</t>
  </si>
  <si>
    <t>Unit 26 - Operation and Maintenance of Electrical Systems and Components</t>
  </si>
  <si>
    <t>Unit 27 - Operation and Maintenance of Fluid Power Systems and Components</t>
  </si>
  <si>
    <t>Unit 33 - Preparing and Controlling Engineering Manufacturing Operations</t>
  </si>
  <si>
    <t>Unit 35 - Application of Quality Control and Measurement in Engineering</t>
  </si>
  <si>
    <t>Unit 15 - Carrying out a Research Project in Health and Social 
Care</t>
  </si>
  <si>
    <t>H&amp;SC A</t>
  </si>
  <si>
    <t>H&amp;SC B</t>
  </si>
  <si>
    <t>Unit 25 - Using ICT in Health and Social Care</t>
  </si>
  <si>
    <t>Unit 24 - Infection Control in Health and Social Care</t>
  </si>
  <si>
    <t>Unit 23 - Food Safety in Health and Social Care</t>
  </si>
  <si>
    <t>Unit 22 - An Introduction to Basic First Aid</t>
  </si>
  <si>
    <t>Unit 16 - Vocational Experience in Health and Social Care</t>
  </si>
  <si>
    <t>Unit 17 - Community Volunteering in Health and Social Care</t>
  </si>
  <si>
    <t>Unit 18 - Child Development and Observation</t>
  </si>
  <si>
    <t>Unit 19 - Skills and Qualities for Working in the Health and Social Care Sector</t>
  </si>
  <si>
    <t>Unit 20 - Understanding Disability</t>
  </si>
  <si>
    <t>Unit 21 - Introduction to Dementia</t>
  </si>
  <si>
    <t xml:space="preserve">Unit 15 - Carrying out a Research Project in Health and Social Care </t>
  </si>
  <si>
    <t>Unit 18 - Delivering the Hospitality Customer Experience</t>
  </si>
  <si>
    <t>Unit 19 - Hospitality Research Project</t>
  </si>
  <si>
    <t>Unit 20 - Work Experience in Hospitality</t>
  </si>
  <si>
    <t>Unit 22 - Sales and Merchandising in Hospitality</t>
  </si>
  <si>
    <t>Unit 23 - Barista Skills in Hospitality</t>
  </si>
  <si>
    <t>Unit 21 - Hospitality Community Volunteering</t>
  </si>
  <si>
    <t>Information and Creative Technology Computer Science</t>
  </si>
  <si>
    <t>Information and Creative Technology Systems Development and Support</t>
  </si>
  <si>
    <t>Core 3</t>
  </si>
  <si>
    <t>Core 2</t>
  </si>
  <si>
    <t>Title</t>
  </si>
  <si>
    <t>Unit 19 - Computing in the Workplace</t>
  </si>
  <si>
    <t>Unit 18 - Computational Thinking</t>
  </si>
  <si>
    <t>Unit 24 - Software Systems Development</t>
  </si>
  <si>
    <t>Unit 22 - Computer Security in Practice</t>
  </si>
  <si>
    <t>Unit 21 - A Technology Business</t>
  </si>
  <si>
    <t>Unit 23 - Computer Systems Support in Practice</t>
  </si>
  <si>
    <t>Unit 20 - Building a Personal Computer</t>
  </si>
  <si>
    <t>Unit 25 - IT Work Experience</t>
  </si>
  <si>
    <t>ICT A</t>
  </si>
  <si>
    <t>ICT B</t>
  </si>
  <si>
    <t>ICT Computer Science A</t>
  </si>
  <si>
    <t>ICT SD&amp;S A</t>
  </si>
  <si>
    <t>Unit 28 - Professional Skills in Music</t>
  </si>
  <si>
    <t>Unit 24 - Music Promotion</t>
  </si>
  <si>
    <t>Unit 25 - Digital and Mobile Technology for Music</t>
  </si>
  <si>
    <t>Unit 26 - Composing for Visual Media</t>
  </si>
  <si>
    <t>Unit 27 - Enterprise and Music</t>
  </si>
  <si>
    <t>Public Serices</t>
  </si>
  <si>
    <t>Unit 19 - Carrying out a Project in Public Services</t>
  </si>
  <si>
    <t>Unit 20 - Law and its Impact on the Individual</t>
  </si>
  <si>
    <t>Public Services A</t>
  </si>
  <si>
    <t>Public Services B</t>
  </si>
  <si>
    <t>Core 4</t>
  </si>
  <si>
    <t>Unit 31 - Community Arts</t>
  </si>
  <si>
    <t>Unit 37 - Performing Arts Enterprise</t>
  </si>
  <si>
    <t>Unit 30 - Choreographing Dance</t>
  </si>
  <si>
    <t>Unit 32 - Directing Performance</t>
  </si>
  <si>
    <t>Unit 33 - Planning and Managing a Performing Arts Event</t>
  </si>
  <si>
    <t>Unit 34 - Multimedia Production</t>
  </si>
  <si>
    <t>Unit 35 - Physical Theatre Performance</t>
  </si>
  <si>
    <t>Unit 36 - Variety Performance</t>
  </si>
  <si>
    <t>Unit 38 - Use of ICT in the Performing Arts</t>
  </si>
  <si>
    <t>Unit 39 - Work Experience in the Performing Arts</t>
  </si>
  <si>
    <t>Unit 40 - Singing Skills in the Performing Arts</t>
  </si>
  <si>
    <t>Sport Outdoor and Adventurous Activities</t>
  </si>
  <si>
    <t>Sport Fitness and Exercise</t>
  </si>
  <si>
    <t>Unit 14 - Carrying Out a Sports-related Project</t>
  </si>
  <si>
    <t>Unit 15 - Designing Exercise Programmes</t>
  </si>
  <si>
    <t>Sport B</t>
  </si>
  <si>
    <t>Unit 16 - The Provision of Sport and Active Leisure</t>
  </si>
  <si>
    <t>Unit 23 - Sport Community Volunteering</t>
  </si>
  <si>
    <t>Unit 17 - Facility Operations for Sport and Leisure</t>
  </si>
  <si>
    <t>Unit 24 - Work Experience in Sport</t>
  </si>
  <si>
    <t>Unit 18 - Expedition Experience</t>
  </si>
  <si>
    <t>Unit 19 - Practical Land-based Outdoor and Adventurous Activities</t>
  </si>
  <si>
    <t>Unit 20 - Practical Water-based Outdoor and Adventurous Activities</t>
  </si>
  <si>
    <t>Unit 21 - Land-based Outdoor and Adventurous Activity Leadership</t>
  </si>
  <si>
    <t>Unit 22 - Water-based Outdoor and Adventurous Activity Leadership</t>
  </si>
  <si>
    <t>Sport Outdoor</t>
  </si>
  <si>
    <t>Sport Outdoor B</t>
  </si>
  <si>
    <t>Sport Fitness</t>
  </si>
  <si>
    <t>Sport Fitness B</t>
  </si>
  <si>
    <t xml:space="preserve">Unit 11 - Delivering the Travel and Tourism Customer Experience </t>
  </si>
  <si>
    <t>Unit 21 - Overseas Holiday Operations</t>
  </si>
  <si>
    <t>Travel and Tourism B</t>
  </si>
  <si>
    <t>Unit 19 - Hospitality Operations in the Travel and Tourism Sector</t>
  </si>
  <si>
    <t>Unit 12 - Marketing in Travel and Tourism</t>
  </si>
  <si>
    <t>Unit 13 - Airports and Airlines</t>
  </si>
  <si>
    <t>Unit 14 - Travel and Tourism Research Project</t>
  </si>
  <si>
    <t>Unit 15 - Work-related Experience in Travel and Tourism</t>
  </si>
  <si>
    <t>*</t>
  </si>
  <si>
    <t>Engineering Technology Pathway</t>
  </si>
  <si>
    <t>Engineering Maintenance Pathway</t>
  </si>
  <si>
    <t>Engineering Manufacturing Pathway</t>
  </si>
  <si>
    <t>Engineering Mechanical Pathway</t>
  </si>
  <si>
    <t>Engineering Technology</t>
  </si>
  <si>
    <t>Engineering Technology B</t>
  </si>
  <si>
    <t>Engineering Maintenance</t>
  </si>
  <si>
    <t>Engineering Maintenance B</t>
  </si>
  <si>
    <t>Engineering Manufacturing</t>
  </si>
  <si>
    <t>Engineering Manufacturing B</t>
  </si>
  <si>
    <t>Engineering Mechanical</t>
  </si>
  <si>
    <t>Engineering Mechanical B</t>
  </si>
  <si>
    <t>All</t>
  </si>
  <si>
    <t>Unit 11</t>
  </si>
  <si>
    <t>Unit 13</t>
  </si>
  <si>
    <t>Unit 18</t>
  </si>
  <si>
    <t>Unit 21</t>
  </si>
  <si>
    <t>Unit 22</t>
  </si>
  <si>
    <t>Unit 16</t>
  </si>
  <si>
    <t>Unit 6</t>
  </si>
  <si>
    <t>Unit 10</t>
  </si>
  <si>
    <t>Unit 17</t>
  </si>
  <si>
    <t>Unit 19</t>
  </si>
  <si>
    <t>Unit 20</t>
  </si>
  <si>
    <t>Forbidden?</t>
  </si>
  <si>
    <t>Unit 14</t>
  </si>
  <si>
    <t>Forbidden</t>
  </si>
  <si>
    <t>Unit 40</t>
  </si>
  <si>
    <t>Unit 24</t>
  </si>
  <si>
    <t>'Alert box Hospitality prerequisites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</si>
</sst>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444444"/>
      <name val="Segoe UI"/>
      <family val="2"/>
    </font>
    <font>
      <b/>
      <sz val="11"/>
      <name val="Calibri"/>
      <family val="2"/>
      <scheme val="minor"/>
    </font>
    <font>
      <sz val="12"/>
      <color theme="1"/>
      <name val="Arial Black"/>
      <family val="2"/>
    </font>
    <font>
      <sz val="11"/>
      <color rgb="FFED6B06"/>
      <name val="Calibri"/>
      <family val="2"/>
      <scheme val="minor"/>
    </font>
    <font>
      <b/>
      <sz val="24"/>
      <color rgb="FFED6B06"/>
      <name val="Verdana"/>
      <family val="2"/>
    </font>
    <font>
      <sz val="11"/>
      <color theme="1"/>
      <name val="Marlett"/>
      <charset val="2"/>
    </font>
    <font>
      <b/>
      <sz val="12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ED6B06"/>
      <name val="Calibri"/>
      <family val="2"/>
    </font>
    <font>
      <b/>
      <sz val="11"/>
      <color rgb="FFF37020"/>
      <name val="Calibri"/>
      <family val="2"/>
      <scheme val="minor"/>
    </font>
    <font>
      <b/>
      <sz val="16"/>
      <color theme="1"/>
      <name val="Verdana"/>
      <family val="2"/>
    </font>
    <font>
      <sz val="11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6B0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7020"/>
        <bgColor indexed="64"/>
      </patternFill>
    </fill>
    <fill>
      <patternFill patternType="solid">
        <fgColor rgb="FFFF66CC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" fillId="0" borderId="0"/>
    <xf numFmtId="0" fontId="1" fillId="0" borderId="0"/>
    <xf numFmtId="0" fontId="1" fillId="2" borderId="0"/>
    <xf numFmtId="0" fontId="24" fillId="0" borderId="0" applyNumberFormat="0" applyFill="0" applyBorder="0" applyAlignment="0" applyProtection="0"/>
  </cellStyleXfs>
  <cellXfs count="162">
    <xf numFmtId="0" fontId="0" fillId="0" borderId="0" xfId="0"/>
    <xf numFmtId="0" fontId="7" fillId="5" borderId="1" xfId="0" applyFont="1" applyFill="1" applyBorder="1" applyProtection="1"/>
    <xf numFmtId="0" fontId="7" fillId="0" borderId="0" xfId="0" applyFont="1"/>
    <xf numFmtId="0" fontId="0" fillId="5" borderId="0" xfId="0" applyFill="1" applyProtection="1"/>
    <xf numFmtId="0" fontId="0" fillId="5" borderId="0" xfId="0" applyFill="1" applyBorder="1" applyProtection="1"/>
    <xf numFmtId="0" fontId="7" fillId="5" borderId="0" xfId="0" applyFont="1" applyFill="1" applyBorder="1" applyProtection="1"/>
    <xf numFmtId="0" fontId="8" fillId="5" borderId="0" xfId="0" applyFont="1" applyFill="1" applyBorder="1" applyAlignment="1" applyProtection="1">
      <alignment shrinkToFit="1"/>
    </xf>
    <xf numFmtId="0" fontId="7" fillId="5" borderId="0" xfId="0" applyFont="1" applyFill="1" applyBorder="1" applyAlignment="1" applyProtection="1"/>
    <xf numFmtId="0" fontId="7" fillId="5" borderId="1" xfId="0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horizontal="right" shrinkToFit="1"/>
    </xf>
    <xf numFmtId="0" fontId="4" fillId="5" borderId="0" xfId="0" applyFont="1" applyFill="1" applyProtection="1"/>
    <xf numFmtId="0" fontId="0" fillId="5" borderId="0" xfId="0" applyFill="1" applyProtection="1">
      <protection hidden="1"/>
    </xf>
    <xf numFmtId="0" fontId="0" fillId="5" borderId="1" xfId="0" applyFill="1" applyBorder="1" applyProtection="1">
      <protection hidden="1"/>
    </xf>
    <xf numFmtId="0" fontId="7" fillId="0" borderId="1" xfId="0" applyFont="1" applyBorder="1"/>
    <xf numFmtId="0" fontId="0" fillId="0" borderId="1" xfId="0" applyBorder="1"/>
    <xf numFmtId="0" fontId="0" fillId="0" borderId="1" xfId="0" applyBorder="1" applyAlignment="1">
      <alignment vertical="center" wrapText="1"/>
    </xf>
    <xf numFmtId="0" fontId="9" fillId="5" borderId="0" xfId="0" applyFont="1" applyFill="1" applyProtection="1"/>
    <xf numFmtId="0" fontId="2" fillId="0" borderId="0" xfId="3"/>
    <xf numFmtId="0" fontId="3" fillId="0" borderId="0" xfId="3" applyFont="1" applyAlignment="1">
      <alignment vertical="center"/>
    </xf>
    <xf numFmtId="0" fontId="2" fillId="3" borderId="1" xfId="3" applyFill="1" applyBorder="1"/>
    <xf numFmtId="0" fontId="2" fillId="4" borderId="1" xfId="3" applyFill="1" applyBorder="1"/>
    <xf numFmtId="0" fontId="3" fillId="0" borderId="3" xfId="3" applyFont="1" applyBorder="1" applyAlignment="1">
      <alignment vertical="center"/>
    </xf>
    <xf numFmtId="0" fontId="0" fillId="5" borderId="1" xfId="0" applyFont="1" applyFill="1" applyBorder="1" applyProtection="1">
      <protection hidden="1"/>
    </xf>
    <xf numFmtId="0" fontId="0" fillId="0" borderId="1" xfId="0" applyFill="1" applyBorder="1"/>
    <xf numFmtId="0" fontId="0" fillId="6" borderId="1" xfId="0" applyFill="1" applyBorder="1" applyProtection="1"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vertical="center"/>
    </xf>
    <xf numFmtId="0" fontId="7" fillId="5" borderId="1" xfId="0" applyFont="1" applyFill="1" applyBorder="1" applyAlignment="1" applyProtection="1">
      <alignment vertical="center"/>
    </xf>
    <xf numFmtId="0" fontId="7" fillId="0" borderId="16" xfId="0" applyFont="1" applyBorder="1"/>
    <xf numFmtId="0" fontId="0" fillId="0" borderId="16" xfId="0" applyBorder="1"/>
    <xf numFmtId="0" fontId="1" fillId="0" borderId="0" xfId="3" applyFont="1"/>
    <xf numFmtId="0" fontId="4" fillId="5" borderId="0" xfId="0" applyFont="1" applyFill="1" applyBorder="1" applyProtection="1"/>
    <xf numFmtId="0" fontId="7" fillId="5" borderId="0" xfId="0" applyFont="1" applyFill="1" applyAlignment="1" applyProtection="1">
      <alignment horizontal="right"/>
    </xf>
    <xf numFmtId="0" fontId="0" fillId="0" borderId="4" xfId="0" applyFill="1" applyBorder="1"/>
    <xf numFmtId="0" fontId="0" fillId="5" borderId="1" xfId="0" applyFill="1" applyBorder="1" applyAlignment="1" applyProtection="1">
      <alignment horizontal="center" vertical="center"/>
    </xf>
    <xf numFmtId="0" fontId="0" fillId="5" borderId="0" xfId="0" applyFont="1" applyFill="1" applyBorder="1" applyProtection="1"/>
    <xf numFmtId="0" fontId="0" fillId="5" borderId="1" xfId="0" applyFont="1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7" fillId="5" borderId="0" xfId="0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horizontal="right"/>
    </xf>
    <xf numFmtId="0" fontId="0" fillId="5" borderId="5" xfId="0" applyFill="1" applyBorder="1" applyAlignment="1" applyProtection="1">
      <alignment horizontal="right"/>
    </xf>
    <xf numFmtId="0" fontId="10" fillId="5" borderId="0" xfId="0" applyFont="1" applyFill="1" applyProtection="1"/>
    <xf numFmtId="0" fontId="11" fillId="5" borderId="1" xfId="0" applyFont="1" applyFill="1" applyBorder="1" applyProtection="1"/>
    <xf numFmtId="0" fontId="3" fillId="0" borderId="0" xfId="4" applyFont="1" applyAlignment="1">
      <alignment vertical="center"/>
    </xf>
    <xf numFmtId="0" fontId="3" fillId="0" borderId="3" xfId="4" applyFont="1" applyBorder="1" applyAlignment="1">
      <alignment vertical="center"/>
    </xf>
    <xf numFmtId="0" fontId="3" fillId="0" borderId="0" xfId="4" applyFont="1"/>
    <xf numFmtId="0" fontId="1" fillId="0" borderId="0" xfId="4"/>
    <xf numFmtId="0" fontId="1" fillId="5" borderId="1" xfId="4" applyFill="1" applyBorder="1"/>
    <xf numFmtId="0" fontId="1" fillId="4" borderId="1" xfId="4" applyFill="1" applyBorder="1"/>
    <xf numFmtId="0" fontId="1" fillId="3" borderId="1" xfId="4" applyFill="1" applyBorder="1"/>
    <xf numFmtId="0" fontId="3" fillId="4" borderId="1" xfId="4" applyFont="1" applyFill="1" applyBorder="1"/>
    <xf numFmtId="0" fontId="9" fillId="5" borderId="1" xfId="0" applyFont="1" applyFill="1" applyBorder="1"/>
    <xf numFmtId="0" fontId="0" fillId="5" borderId="1" xfId="0" applyFill="1" applyBorder="1" applyProtection="1">
      <protection locked="0"/>
    </xf>
    <xf numFmtId="0" fontId="9" fillId="0" borderId="1" xfId="4" applyFont="1" applyBorder="1"/>
    <xf numFmtId="0" fontId="0" fillId="0" borderId="1" xfId="0" applyFont="1" applyBorder="1"/>
    <xf numFmtId="0" fontId="0" fillId="0" borderId="0" xfId="0" applyBorder="1"/>
    <xf numFmtId="0" fontId="9" fillId="5" borderId="0" xfId="0" applyFont="1" applyFill="1" applyBorder="1" applyProtection="1"/>
    <xf numFmtId="0" fontId="7" fillId="5" borderId="0" xfId="0" applyFont="1" applyFill="1" applyBorder="1" applyAlignment="1" applyProtection="1">
      <alignment vertical="center" wrapText="1"/>
    </xf>
    <xf numFmtId="0" fontId="7" fillId="5" borderId="2" xfId="0" applyFont="1" applyFill="1" applyBorder="1" applyAlignment="1" applyProtection="1">
      <alignment vertical="center" wrapText="1"/>
    </xf>
    <xf numFmtId="0" fontId="7" fillId="5" borderId="2" xfId="0" applyFont="1" applyFill="1" applyBorder="1" applyAlignment="1" applyProtection="1">
      <alignment horizontal="center" vertical="center"/>
    </xf>
    <xf numFmtId="0" fontId="5" fillId="5" borderId="0" xfId="0" applyFont="1" applyFill="1" applyBorder="1" applyProtection="1"/>
    <xf numFmtId="0" fontId="7" fillId="5" borderId="1" xfId="0" applyFont="1" applyFill="1" applyBorder="1" applyAlignment="1" applyProtection="1">
      <alignment horizontal="center" vertical="center" wrapText="1"/>
    </xf>
    <xf numFmtId="0" fontId="7" fillId="5" borderId="7" xfId="0" applyFont="1" applyFill="1" applyBorder="1" applyAlignment="1" applyProtection="1"/>
    <xf numFmtId="0" fontId="7" fillId="5" borderId="8" xfId="0" applyFont="1" applyFill="1" applyBorder="1" applyAlignment="1" applyProtection="1">
      <alignment horizontal="left"/>
    </xf>
    <xf numFmtId="0" fontId="7" fillId="5" borderId="1" xfId="0" applyFont="1" applyFill="1" applyBorder="1" applyAlignment="1" applyProtection="1">
      <alignment horizontal="left" vertical="center"/>
    </xf>
    <xf numFmtId="0" fontId="0" fillId="5" borderId="0" xfId="0" applyFill="1" applyAlignment="1" applyProtection="1">
      <alignment vertical="center"/>
    </xf>
    <xf numFmtId="0" fontId="0" fillId="5" borderId="0" xfId="0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horizontal="center" vertical="center" wrapText="1"/>
    </xf>
    <xf numFmtId="0" fontId="12" fillId="5" borderId="0" xfId="0" applyFont="1" applyFill="1" applyProtection="1"/>
    <xf numFmtId="0" fontId="0" fillId="0" borderId="1" xfId="0" applyFill="1" applyBorder="1" applyAlignment="1">
      <alignment wrapText="1"/>
    </xf>
    <xf numFmtId="0" fontId="0" fillId="5" borderId="0" xfId="0" applyFill="1" applyAlignment="1" applyProtection="1">
      <alignment horizontal="center" vertical="center"/>
    </xf>
    <xf numFmtId="0" fontId="13" fillId="5" borderId="0" xfId="0" applyFont="1" applyFill="1" applyProtection="1"/>
    <xf numFmtId="0" fontId="14" fillId="5" borderId="0" xfId="0" applyFont="1" applyFill="1" applyAlignment="1" applyProtection="1">
      <alignment horizontal="center" vertical="center"/>
    </xf>
    <xf numFmtId="0" fontId="15" fillId="5" borderId="0" xfId="0" applyFont="1" applyFill="1" applyAlignment="1" applyProtection="1">
      <alignment vertical="center"/>
    </xf>
    <xf numFmtId="0" fontId="0" fillId="5" borderId="1" xfId="0" applyFont="1" applyFill="1" applyBorder="1" applyAlignment="1" applyProtection="1">
      <alignment horizontal="center" vertical="center" wrapText="1"/>
    </xf>
    <xf numFmtId="0" fontId="0" fillId="5" borderId="1" xfId="0" applyNumberFormat="1" applyFill="1" applyBorder="1" applyProtection="1"/>
    <xf numFmtId="0" fontId="0" fillId="5" borderId="5" xfId="0" applyNumberFormat="1" applyFill="1" applyBorder="1" applyProtection="1"/>
    <xf numFmtId="0" fontId="0" fillId="5" borderId="6" xfId="0" applyNumberFormat="1" applyFill="1" applyBorder="1" applyProtection="1"/>
    <xf numFmtId="0" fontId="0" fillId="5" borderId="9" xfId="0" applyNumberFormat="1" applyFill="1" applyBorder="1" applyProtection="1"/>
    <xf numFmtId="0" fontId="19" fillId="5" borderId="1" xfId="0" applyFont="1" applyFill="1" applyBorder="1" applyAlignment="1" applyProtection="1">
      <alignment horizontal="center" vertical="center" wrapText="1"/>
    </xf>
    <xf numFmtId="0" fontId="7" fillId="5" borderId="1" xfId="0" applyFont="1" applyFill="1" applyBorder="1" applyProtection="1">
      <protection hidden="1"/>
    </xf>
    <xf numFmtId="0" fontId="5" fillId="5" borderId="0" xfId="0" applyFont="1" applyFill="1" applyBorder="1" applyAlignment="1" applyProtection="1">
      <alignment wrapText="1"/>
    </xf>
    <xf numFmtId="0" fontId="4" fillId="5" borderId="0" xfId="0" applyFont="1" applyFill="1" applyBorder="1" applyAlignment="1" applyProtection="1">
      <alignment horizontal="right" shrinkToFit="1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5" fillId="8" borderId="1" xfId="0" applyFont="1" applyFill="1" applyBorder="1" applyProtection="1">
      <protection locked="0" hidden="1"/>
    </xf>
    <xf numFmtId="0" fontId="5" fillId="8" borderId="1" xfId="0" applyFont="1" applyFill="1" applyBorder="1" applyAlignment="1" applyProtection="1">
      <alignment horizontal="center" vertical="center"/>
      <protection locked="0" hidden="1"/>
    </xf>
    <xf numFmtId="0" fontId="4" fillId="8" borderId="1" xfId="0" applyFont="1" applyFill="1" applyBorder="1" applyAlignment="1" applyProtection="1">
      <alignment horizontal="center" vertical="center"/>
      <protection locked="0"/>
    </xf>
    <xf numFmtId="0" fontId="4" fillId="8" borderId="1" xfId="0" applyFont="1" applyFill="1" applyBorder="1" applyProtection="1">
      <protection locked="0"/>
    </xf>
    <xf numFmtId="0" fontId="4" fillId="8" borderId="8" xfId="0" applyFont="1" applyFill="1" applyBorder="1" applyAlignment="1" applyProtection="1">
      <alignment horizontal="center" vertical="center"/>
      <protection locked="0"/>
    </xf>
    <xf numFmtId="0" fontId="20" fillId="5" borderId="0" xfId="0" applyFont="1" applyFill="1" applyAlignment="1" applyProtection="1">
      <alignment horizontal="center" vertical="center"/>
    </xf>
    <xf numFmtId="0" fontId="21" fillId="5" borderId="0" xfId="0" applyFont="1" applyFill="1" applyAlignment="1" applyProtection="1">
      <alignment horizontal="center" vertical="center"/>
    </xf>
    <xf numFmtId="0" fontId="1" fillId="0" borderId="0" xfId="4" applyFill="1"/>
    <xf numFmtId="0" fontId="1" fillId="0" borderId="0" xfId="4" applyFont="1"/>
    <xf numFmtId="0" fontId="1" fillId="0" borderId="0" xfId="4" applyAlignment="1">
      <alignment wrapText="1"/>
    </xf>
    <xf numFmtId="0" fontId="17" fillId="6" borderId="0" xfId="0" applyFont="1" applyFill="1" applyBorder="1" applyAlignment="1" applyProtection="1">
      <alignment horizontal="center" vertical="center"/>
    </xf>
    <xf numFmtId="0" fontId="22" fillId="5" borderId="0" xfId="0" applyFont="1" applyFill="1" applyBorder="1" applyAlignment="1" applyProtection="1">
      <alignment horizontal="center" vertical="center"/>
    </xf>
    <xf numFmtId="0" fontId="0" fillId="0" borderId="1" xfId="0" applyFont="1" applyFill="1" applyBorder="1"/>
    <xf numFmtId="0" fontId="9" fillId="0" borderId="1" xfId="4" applyFont="1" applyBorder="1" applyAlignment="1">
      <alignment wrapText="1"/>
    </xf>
    <xf numFmtId="0" fontId="0" fillId="5" borderId="6" xfId="0" applyFill="1" applyBorder="1" applyAlignment="1" applyProtection="1">
      <alignment horizontal="right"/>
    </xf>
    <xf numFmtId="0" fontId="0" fillId="5" borderId="9" xfId="0" applyFill="1" applyBorder="1" applyAlignment="1" applyProtection="1">
      <alignment horizontal="right"/>
    </xf>
    <xf numFmtId="0" fontId="0" fillId="0" borderId="4" xfId="0" applyFont="1" applyFill="1" applyBorder="1"/>
    <xf numFmtId="0" fontId="0" fillId="0" borderId="0" xfId="0" applyFill="1" applyBorder="1"/>
    <xf numFmtId="0" fontId="0" fillId="5" borderId="6" xfId="0" applyFill="1" applyBorder="1" applyProtection="1"/>
    <xf numFmtId="0" fontId="0" fillId="5" borderId="9" xfId="0" applyFill="1" applyBorder="1" applyProtection="1"/>
    <xf numFmtId="0" fontId="0" fillId="5" borderId="0" xfId="0" applyFill="1" applyBorder="1"/>
    <xf numFmtId="0" fontId="7" fillId="5" borderId="2" xfId="0" applyFont="1" applyFill="1" applyBorder="1" applyAlignment="1" applyProtection="1">
      <alignment vertical="center" textRotation="90"/>
    </xf>
    <xf numFmtId="0" fontId="7" fillId="5" borderId="4" xfId="0" applyFont="1" applyFill="1" applyBorder="1" applyAlignment="1" applyProtection="1">
      <alignment vertical="center" textRotation="90" wrapText="1"/>
    </xf>
    <xf numFmtId="0" fontId="0" fillId="5" borderId="7" xfId="0" applyFont="1" applyFill="1" applyBorder="1" applyProtection="1"/>
    <xf numFmtId="0" fontId="7" fillId="5" borderId="0" xfId="0" applyFont="1" applyFill="1" applyBorder="1" applyAlignment="1" applyProtection="1">
      <alignment vertical="center" textRotation="90"/>
    </xf>
    <xf numFmtId="0" fontId="7" fillId="5" borderId="2" xfId="0" applyFont="1" applyFill="1" applyBorder="1" applyAlignment="1" applyProtection="1">
      <alignment vertical="center" textRotation="90" wrapText="1"/>
    </xf>
    <xf numFmtId="0" fontId="0" fillId="0" borderId="0" xfId="0" applyBorder="1" applyProtection="1"/>
    <xf numFmtId="0" fontId="4" fillId="6" borderId="1" xfId="0" applyFont="1" applyFill="1" applyBorder="1" applyProtection="1">
      <protection locked="0"/>
    </xf>
    <xf numFmtId="0" fontId="0" fillId="6" borderId="1" xfId="0" applyFill="1" applyBorder="1" applyAlignment="1" applyProtection="1">
      <alignment horizontal="right"/>
      <protection locked="0"/>
    </xf>
    <xf numFmtId="0" fontId="11" fillId="5" borderId="1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vertical="center" textRotation="90"/>
    </xf>
    <xf numFmtId="0" fontId="11" fillId="5" borderId="0" xfId="0" applyFont="1" applyFill="1" applyBorder="1" applyAlignment="1" applyProtection="1">
      <alignment horizontal="center" vertical="center"/>
    </xf>
    <xf numFmtId="0" fontId="11" fillId="5" borderId="2" xfId="0" applyFont="1" applyFill="1" applyBorder="1" applyAlignment="1" applyProtection="1">
      <alignment vertical="center" textRotation="90"/>
    </xf>
    <xf numFmtId="0" fontId="11" fillId="5" borderId="0" xfId="0" applyFont="1" applyFill="1" applyBorder="1" applyAlignment="1" applyProtection="1">
      <alignment vertical="center"/>
    </xf>
    <xf numFmtId="0" fontId="11" fillId="5" borderId="2" xfId="0" applyFont="1" applyFill="1" applyBorder="1" applyAlignment="1" applyProtection="1">
      <alignment vertical="center" textRotation="90" wrapText="1"/>
    </xf>
    <xf numFmtId="0" fontId="9" fillId="0" borderId="1" xfId="4" applyFont="1" applyFill="1" applyBorder="1"/>
    <xf numFmtId="0" fontId="0" fillId="0" borderId="4" xfId="0" applyBorder="1"/>
    <xf numFmtId="0" fontId="0" fillId="0" borderId="0" xfId="0" applyAlignment="1">
      <alignment wrapText="1"/>
    </xf>
    <xf numFmtId="0" fontId="0" fillId="9" borderId="1" xfId="0" applyFill="1" applyBorder="1"/>
    <xf numFmtId="0" fontId="9" fillId="0" borderId="4" xfId="4" applyFont="1" applyFill="1" applyBorder="1"/>
    <xf numFmtId="0" fontId="9" fillId="0" borderId="4" xfId="4" applyFont="1" applyFill="1" applyBorder="1" applyAlignment="1">
      <alignment wrapText="1"/>
    </xf>
    <xf numFmtId="0" fontId="7" fillId="5" borderId="0" xfId="0" applyFont="1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/>
    </xf>
    <xf numFmtId="0" fontId="1" fillId="0" borderId="0" xfId="4" applyFill="1" applyBorder="1"/>
    <xf numFmtId="0" fontId="1" fillId="0" borderId="0" xfId="4" applyFill="1" applyBorder="1" applyAlignment="1">
      <alignment wrapText="1"/>
    </xf>
    <xf numFmtId="0" fontId="9" fillId="0" borderId="1" xfId="4" applyFont="1" applyFill="1" applyBorder="1" applyAlignment="1">
      <alignment wrapText="1"/>
    </xf>
    <xf numFmtId="0" fontId="1" fillId="0" borderId="1" xfId="4" applyBorder="1"/>
    <xf numFmtId="0" fontId="23" fillId="0" borderId="1" xfId="0" applyFont="1" applyBorder="1"/>
    <xf numFmtId="0" fontId="9" fillId="5" borderId="1" xfId="0" applyFont="1" applyFill="1" applyBorder="1" applyProtection="1"/>
    <xf numFmtId="0" fontId="0" fillId="0" borderId="1" xfId="0" applyBorder="1" applyAlignment="1">
      <alignment wrapText="1"/>
    </xf>
    <xf numFmtId="0" fontId="11" fillId="5" borderId="1" xfId="0" applyFont="1" applyFill="1" applyBorder="1" applyAlignment="1" applyProtection="1">
      <alignment horizontal="center" vertical="center" wrapText="1"/>
    </xf>
    <xf numFmtId="0" fontId="9" fillId="0" borderId="0" xfId="0" applyFont="1"/>
    <xf numFmtId="0" fontId="9" fillId="0" borderId="0" xfId="0" applyFont="1" applyProtection="1"/>
    <xf numFmtId="0" fontId="4" fillId="5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/>
    </xf>
    <xf numFmtId="0" fontId="0" fillId="0" borderId="0" xfId="0" applyProtection="1"/>
    <xf numFmtId="0" fontId="4" fillId="5" borderId="0" xfId="0" applyFont="1" applyFill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center"/>
    </xf>
    <xf numFmtId="0" fontId="16" fillId="5" borderId="10" xfId="0" applyFont="1" applyFill="1" applyBorder="1" applyAlignment="1" applyProtection="1">
      <alignment horizontal="center" vertical="center" wrapText="1"/>
    </xf>
    <xf numFmtId="0" fontId="16" fillId="5" borderId="11" xfId="0" applyFont="1" applyFill="1" applyBorder="1" applyAlignment="1" applyProtection="1">
      <alignment horizontal="center" vertical="center" wrapText="1"/>
    </xf>
    <xf numFmtId="0" fontId="16" fillId="5" borderId="12" xfId="0" applyFont="1" applyFill="1" applyBorder="1" applyAlignment="1" applyProtection="1">
      <alignment horizontal="center" vertical="center" wrapText="1"/>
    </xf>
    <xf numFmtId="0" fontId="16" fillId="5" borderId="13" xfId="0" applyFont="1" applyFill="1" applyBorder="1" applyAlignment="1" applyProtection="1">
      <alignment horizontal="center" vertical="center" wrapText="1"/>
    </xf>
    <xf numFmtId="0" fontId="16" fillId="5" borderId="0" xfId="0" applyFont="1" applyFill="1" applyBorder="1" applyAlignment="1" applyProtection="1">
      <alignment horizontal="center" vertical="center" wrapText="1"/>
    </xf>
    <xf numFmtId="0" fontId="16" fillId="5" borderId="2" xfId="0" applyFont="1" applyFill="1" applyBorder="1" applyAlignment="1" applyProtection="1">
      <alignment horizontal="center" vertical="center" wrapText="1"/>
    </xf>
    <xf numFmtId="0" fontId="16" fillId="5" borderId="14" xfId="0" applyFont="1" applyFill="1" applyBorder="1" applyAlignment="1" applyProtection="1">
      <alignment horizontal="center" vertical="center" wrapText="1"/>
    </xf>
    <xf numFmtId="0" fontId="16" fillId="5" borderId="3" xfId="0" applyFont="1" applyFill="1" applyBorder="1" applyAlignment="1" applyProtection="1">
      <alignment horizontal="center" vertical="center" wrapText="1"/>
    </xf>
    <xf numFmtId="0" fontId="16" fillId="5" borderId="15" xfId="0" applyFont="1" applyFill="1" applyBorder="1" applyAlignment="1" applyProtection="1">
      <alignment horizontal="center" vertical="center" wrapText="1"/>
    </xf>
    <xf numFmtId="0" fontId="17" fillId="7" borderId="0" xfId="1" applyFont="1" applyFill="1" applyBorder="1" applyAlignment="1" applyProtection="1">
      <alignment horizontal="center" vertical="center"/>
    </xf>
    <xf numFmtId="0" fontId="18" fillId="7" borderId="0" xfId="1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/>
    </xf>
    <xf numFmtId="0" fontId="7" fillId="5" borderId="7" xfId="0" applyFont="1" applyFill="1" applyBorder="1" applyAlignment="1" applyProtection="1">
      <alignment horizontal="center"/>
    </xf>
    <xf numFmtId="0" fontId="5" fillId="5" borderId="0" xfId="0" applyFont="1" applyFill="1" applyBorder="1" applyAlignment="1" applyProtection="1">
      <alignment horizontal="center" wrapText="1"/>
    </xf>
    <xf numFmtId="0" fontId="0" fillId="5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 vertical="center" wrapText="1"/>
    </xf>
    <xf numFmtId="0" fontId="7" fillId="5" borderId="8" xfId="0" applyFont="1" applyFill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center" vertical="center"/>
    </xf>
    <xf numFmtId="0" fontId="7" fillId="0" borderId="1" xfId="0" applyFont="1" applyBorder="1" applyAlignment="1">
      <alignment horizontal="center"/>
    </xf>
  </cellXfs>
  <cellStyles count="7">
    <cellStyle name="Followed Hyperlink" xfId="6" builtinId="9" hidden="1"/>
    <cellStyle name="Hyperlink" xfId="1" builtinId="8"/>
    <cellStyle name="Normal" xfId="0" builtinId="0"/>
    <cellStyle name="Normal 2" xfId="2"/>
    <cellStyle name="Normal 3" xfId="3"/>
    <cellStyle name="Normal 3 2" xfId="4"/>
    <cellStyle name="YELLOW" xfId="5"/>
  </cellStyles>
  <dxfs count="40">
    <dxf>
      <font>
        <color rgb="FFFF0000"/>
      </font>
    </dxf>
    <dxf>
      <font>
        <b/>
        <i val="0"/>
        <color theme="0"/>
      </font>
      <fill>
        <patternFill>
          <bgColor rgb="FFF3702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3702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3702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37020"/>
        </patternFill>
      </fill>
      <border>
        <left/>
        <right/>
        <top/>
        <bottom/>
        <vertical/>
        <horizontal/>
      </border>
    </dxf>
    <dxf>
      <fill>
        <patternFill>
          <bgColor rgb="FFFFCC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37020"/>
      <color rgb="FFED6B06"/>
      <color rgb="FFFF66CC"/>
      <color rgb="FFFF3399"/>
      <color rgb="FFD60093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externalLink" Target="externalLinks/externalLink3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Drop" dropLines="5" dropStyle="combo" dx="16" fmlaLink="I15" fmlaRange="'Cert Unit Data'!$A$30:$A$34" noThreeD="1" sel="0" val="0"/>
</file>

<file path=xl/ctrlProps/ctrlProp2.xml><?xml version="1.0" encoding="utf-8"?>
<formControlPr xmlns="http://schemas.microsoft.com/office/spreadsheetml/2009/9/main" objectType="Drop" dropLines="5" dropStyle="combo" dx="16" fmlaLink="I14" fmlaRange="'Cert Unit Data'!$A$30:$A$34" noThreeD="1" sel="0" val="0"/>
</file>

<file path=xl/ctrlProps/ctrlProp3.xml><?xml version="1.0" encoding="utf-8"?>
<formControlPr xmlns="http://schemas.microsoft.com/office/spreadsheetml/2009/9/main" objectType="Drop" dropLines="5" dropStyle="combo" dx="16" fmlaLink="I23" fmlaRange="'Cert Unit Data'!$A$30:$A$34" noThreeD="1" sel="0" val="0"/>
</file>

<file path=xl/ctrlProps/ctrlProp4.xml><?xml version="1.0" encoding="utf-8"?>
<formControlPr xmlns="http://schemas.microsoft.com/office/spreadsheetml/2009/9/main" objectType="Drop" dropLines="5" dropStyle="combo" dx="16" fmlaLink="I24" fmlaRange="'Cert Unit Data'!$A$30:$A$34" noThreeD="1" sel="0" val="0"/>
</file>

<file path=xl/ctrlProps/ctrlProp5.xml><?xml version="1.0" encoding="utf-8"?>
<formControlPr xmlns="http://schemas.microsoft.com/office/spreadsheetml/2009/9/main" objectType="Drop" dropLines="5" dropStyle="combo" dx="16" fmlaLink="I25" fmlaRange="'Cert Unit Data'!$A$30:$A$34" noThreeD="1" sel="0" val="0"/>
</file>

<file path=xl/ctrlProps/ctrlProp6.xml><?xml version="1.0" encoding="utf-8"?>
<formControlPr xmlns="http://schemas.microsoft.com/office/spreadsheetml/2009/9/main" objectType="Drop" dropLines="5" dropStyle="combo" dx="16" fmlaLink="I21" fmlaRange="'Cert Unit Data'!$A$30:$A$34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ward!A1"/><Relationship Id="rId4" Type="http://schemas.openxmlformats.org/officeDocument/2006/relationships/image" Target="../media/image3.png"/><Relationship Id="rId5" Type="http://schemas.openxmlformats.org/officeDocument/2006/relationships/hyperlink" Target="#Certificate!A1"/><Relationship Id="rId6" Type="http://schemas.openxmlformats.org/officeDocument/2006/relationships/image" Target="../media/image4.png"/><Relationship Id="rId7" Type="http://schemas.openxmlformats.org/officeDocument/2006/relationships/image" Target="../media/image5.jpeg"/><Relationship Id="rId8" Type="http://schemas.openxmlformats.org/officeDocument/2006/relationships/hyperlink" Target="#'Extended Certificate'!A1"/><Relationship Id="rId9" Type="http://schemas.openxmlformats.org/officeDocument/2006/relationships/image" Target="../media/image6.png"/><Relationship Id="rId10" Type="http://schemas.openxmlformats.org/officeDocument/2006/relationships/hyperlink" Target="#Diploma!A1"/><Relationship Id="rId11" Type="http://schemas.openxmlformats.org/officeDocument/2006/relationships/image" Target="../media/image7.png"/><Relationship Id="rId1" Type="http://schemas.openxmlformats.org/officeDocument/2006/relationships/image" Target="../media/image1.png"/><Relationship Id="rId2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jpeg"/><Relationship Id="rId3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Relationship Id="rId2" Type="http://schemas.openxmlformats.org/officeDocument/2006/relationships/image" Target="../media/image1.png"/><Relationship Id="rId3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Relationship Id="rId2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2781300</xdr:colOff>
      <xdr:row>0</xdr:row>
      <xdr:rowOff>171450</xdr:rowOff>
    </xdr:from>
    <xdr:to>
      <xdr:col>16</xdr:col>
      <xdr:colOff>95250</xdr:colOff>
      <xdr:row>3</xdr:row>
      <xdr:rowOff>180975</xdr:rowOff>
    </xdr:to>
    <xdr:pic>
      <xdr:nvPicPr>
        <xdr:cNvPr id="15007" name="Picture 9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43825" y="171450"/>
          <a:ext cx="20193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22</xdr:row>
      <xdr:rowOff>66675</xdr:rowOff>
    </xdr:from>
    <xdr:to>
      <xdr:col>0</xdr:col>
      <xdr:colOff>9525</xdr:colOff>
      <xdr:row>24</xdr:row>
      <xdr:rowOff>104775</xdr:rowOff>
    </xdr:to>
    <xdr:pic>
      <xdr:nvPicPr>
        <xdr:cNvPr id="15008" name="Picture 1218" descr="http://brand-microsite.pearson.com/content/dam/pearson-brandmicrosite/images/pages/logos/Pearson_WebBar_Bottom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4419600"/>
          <a:ext cx="9525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8</xdr:col>
      <xdr:colOff>0</xdr:colOff>
      <xdr:row>19</xdr:row>
      <xdr:rowOff>0</xdr:rowOff>
    </xdr:to>
    <xdr:pic>
      <xdr:nvPicPr>
        <xdr:cNvPr id="15010" name="Picture 347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000125" y="3533775"/>
          <a:ext cx="36195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0</xdr:colOff>
      <xdr:row>17</xdr:row>
      <xdr:rowOff>0</xdr:rowOff>
    </xdr:from>
    <xdr:to>
      <xdr:col>10</xdr:col>
      <xdr:colOff>0</xdr:colOff>
      <xdr:row>19</xdr:row>
      <xdr:rowOff>0</xdr:rowOff>
    </xdr:to>
    <xdr:pic>
      <xdr:nvPicPr>
        <xdr:cNvPr id="15011" name="Picture 350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962525" y="3533775"/>
          <a:ext cx="36195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</xdr:colOff>
      <xdr:row>22</xdr:row>
      <xdr:rowOff>57152</xdr:rowOff>
    </xdr:from>
    <xdr:to>
      <xdr:col>16</xdr:col>
      <xdr:colOff>228599</xdr:colOff>
      <xdr:row>24</xdr:row>
      <xdr:rowOff>190499</xdr:rowOff>
    </xdr:to>
    <xdr:pic>
      <xdr:nvPicPr>
        <xdr:cNvPr id="7" name="Picture 6" descr="image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" y="4743452"/>
          <a:ext cx="9896473" cy="600072"/>
        </a:xfrm>
        <a:prstGeom prst="rect">
          <a:avLst/>
        </a:prstGeom>
      </xdr:spPr>
    </xdr:pic>
    <xdr:clientData/>
  </xdr:twoCellAnchor>
  <xdr:twoCellAnchor editAs="oneCell">
    <xdr:from>
      <xdr:col>6</xdr:col>
      <xdr:colOff>739774</xdr:colOff>
      <xdr:row>19</xdr:row>
      <xdr:rowOff>198437</xdr:rowOff>
    </xdr:from>
    <xdr:to>
      <xdr:col>7</xdr:col>
      <xdr:colOff>3617118</xdr:colOff>
      <xdr:row>21</xdr:row>
      <xdr:rowOff>0</xdr:rowOff>
    </xdr:to>
    <xdr:pic>
      <xdr:nvPicPr>
        <xdr:cNvPr id="14338" name="Picture 2">
          <a:hlinkClick xmlns:r="http://schemas.openxmlformats.org/officeDocument/2006/relationships" r:id="rId8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993774" y="4107656"/>
          <a:ext cx="3619500" cy="38100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pic>
      <xdr:nvPicPr>
        <xdr:cNvPr id="14340" name="Picture 4">
          <a:hlinkClick xmlns:r="http://schemas.openxmlformats.org/officeDocument/2006/relationships" r:id="rId10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962525" y="4114800"/>
          <a:ext cx="3619500" cy="381000"/>
        </a:xfrm>
        <a:prstGeom prst="rect">
          <a:avLst/>
        </a:prstGeom>
        <a:noFill/>
      </xdr:spPr>
    </xdr:pic>
    <xdr:clientData/>
  </xdr:twoCellAnchor>
  <xdr:twoCellAnchor editAs="absolute">
    <xdr:from>
      <xdr:col>15</xdr:col>
      <xdr:colOff>104777</xdr:colOff>
      <xdr:row>20</xdr:row>
      <xdr:rowOff>371475</xdr:rowOff>
    </xdr:from>
    <xdr:to>
      <xdr:col>16</xdr:col>
      <xdr:colOff>228599</xdr:colOff>
      <xdr:row>21</xdr:row>
      <xdr:rowOff>161924</xdr:rowOff>
    </xdr:to>
    <xdr:sp macro="" textlink="">
      <xdr:nvSpPr>
        <xdr:cNvPr id="9" name="TextBox 8"/>
        <xdr:cNvSpPr txBox="1"/>
      </xdr:nvSpPr>
      <xdr:spPr>
        <a:xfrm>
          <a:off x="9391652" y="4486275"/>
          <a:ext cx="504822" cy="1714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0">
              <a:latin typeface="Verdana" pitchFamily="34" charset="0"/>
              <a:ea typeface="Verdana" pitchFamily="34" charset="0"/>
              <a:cs typeface="Verdana" pitchFamily="34" charset="0"/>
            </a:rPr>
            <a:t>V1.5</a:t>
          </a:r>
        </a:p>
        <a:p>
          <a:endParaRPr lang="en-US" sz="1000" b="0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361950</xdr:colOff>
      <xdr:row>1</xdr:row>
      <xdr:rowOff>76200</xdr:rowOff>
    </xdr:from>
    <xdr:to>
      <xdr:col>14</xdr:col>
      <xdr:colOff>123825</xdr:colOff>
      <xdr:row>4</xdr:row>
      <xdr:rowOff>104775</xdr:rowOff>
    </xdr:to>
    <xdr:pic>
      <xdr:nvPicPr>
        <xdr:cNvPr id="17315" name="Picture 9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72400" y="238125"/>
          <a:ext cx="20193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238127</xdr:colOff>
      <xdr:row>7</xdr:row>
      <xdr:rowOff>9525</xdr:rowOff>
    </xdr:from>
    <xdr:to>
      <xdr:col>13</xdr:col>
      <xdr:colOff>1304925</xdr:colOff>
      <xdr:row>12</xdr:row>
      <xdr:rowOff>9525</xdr:rowOff>
    </xdr:to>
    <xdr:sp macro="" textlink="">
      <xdr:nvSpPr>
        <xdr:cNvPr id="4" name="TextBox 3"/>
        <xdr:cNvSpPr txBox="1"/>
      </xdr:nvSpPr>
      <xdr:spPr>
        <a:xfrm>
          <a:off x="8334377" y="1371600"/>
          <a:ext cx="1323973" cy="9906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Key:</a:t>
          </a:r>
          <a:r>
            <a:rPr lang="en-US" sz="1000"/>
            <a:t>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 -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Unclassified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en-US" sz="10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    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L1 -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Level 1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P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Pass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M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Merit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D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Distinction</a:t>
          </a:r>
          <a:r>
            <a:rPr lang="en-US" sz="1000"/>
            <a:t> </a:t>
          </a:r>
        </a:p>
      </xdr:txBody>
    </xdr:sp>
    <xdr:clientData/>
  </xdr:twoCellAnchor>
  <xdr:twoCellAnchor>
    <xdr:from>
      <xdr:col>6</xdr:col>
      <xdr:colOff>800100</xdr:colOff>
      <xdr:row>4</xdr:row>
      <xdr:rowOff>161926</xdr:rowOff>
    </xdr:from>
    <xdr:to>
      <xdr:col>7</xdr:col>
      <xdr:colOff>3581400</xdr:colOff>
      <xdr:row>6</xdr:row>
      <xdr:rowOff>19050</xdr:rowOff>
    </xdr:to>
    <xdr:sp macro="" textlink="">
      <xdr:nvSpPr>
        <xdr:cNvPr id="5" name="TextBox 4"/>
        <xdr:cNvSpPr txBox="1"/>
      </xdr:nvSpPr>
      <xdr:spPr>
        <a:xfrm>
          <a:off x="1905000" y="952501"/>
          <a:ext cx="3638550" cy="2381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rgbClr val="ED6B06"/>
              </a:solidFill>
            </a:rPr>
            <a:t>1. Choose sector from drop down box by clicking above</a:t>
          </a:r>
        </a:p>
      </xdr:txBody>
    </xdr:sp>
    <xdr:clientData/>
  </xdr:twoCellAnchor>
  <xdr:twoCellAnchor>
    <xdr:from>
      <xdr:col>6</xdr:col>
      <xdr:colOff>790575</xdr:colOff>
      <xdr:row>11</xdr:row>
      <xdr:rowOff>190501</xdr:rowOff>
    </xdr:from>
    <xdr:to>
      <xdr:col>8</xdr:col>
      <xdr:colOff>95250</xdr:colOff>
      <xdr:row>13</xdr:row>
      <xdr:rowOff>85726</xdr:rowOff>
    </xdr:to>
    <xdr:sp macro="" textlink="">
      <xdr:nvSpPr>
        <xdr:cNvPr id="6" name="TextBox 5"/>
        <xdr:cNvSpPr txBox="1"/>
      </xdr:nvSpPr>
      <xdr:spPr>
        <a:xfrm>
          <a:off x="1895475" y="2343151"/>
          <a:ext cx="4133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rgbClr val="ED6B06"/>
              </a:solidFill>
            </a:rPr>
            <a:t>2. Choose optional unit(s) by clicking on orange</a:t>
          </a:r>
          <a:r>
            <a:rPr lang="en-US" sz="1100" b="1" baseline="0">
              <a:solidFill>
                <a:srgbClr val="ED6B06"/>
              </a:solidFill>
            </a:rPr>
            <a:t> boxes above</a:t>
          </a:r>
          <a:endParaRPr lang="en-US" sz="1100" b="1">
            <a:solidFill>
              <a:srgbClr val="ED6B06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123825</xdr:rowOff>
    </xdr:from>
    <xdr:to>
      <xdr:col>15</xdr:col>
      <xdr:colOff>628649</xdr:colOff>
      <xdr:row>7</xdr:row>
      <xdr:rowOff>9525</xdr:rowOff>
    </xdr:to>
    <xdr:sp macro="" textlink="">
      <xdr:nvSpPr>
        <xdr:cNvPr id="7" name="TextBox 6"/>
        <xdr:cNvSpPr txBox="1"/>
      </xdr:nvSpPr>
      <xdr:spPr>
        <a:xfrm>
          <a:off x="7410450" y="1104900"/>
          <a:ext cx="2857499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rgbClr val="ED6B06"/>
              </a:solidFill>
            </a:rPr>
            <a:t>3. Select grade from drop down orange</a:t>
          </a:r>
          <a:r>
            <a:rPr lang="en-US" sz="1100" b="1" baseline="0">
              <a:solidFill>
                <a:srgbClr val="ED6B06"/>
              </a:solidFill>
            </a:rPr>
            <a:t> </a:t>
          </a:r>
          <a:r>
            <a:rPr lang="en-US" sz="1100" b="1">
              <a:solidFill>
                <a:srgbClr val="ED6B06"/>
              </a:solidFill>
            </a:rPr>
            <a:t>boxes</a:t>
          </a:r>
        </a:p>
      </xdr:txBody>
    </xdr:sp>
    <xdr:clientData/>
  </xdr:twoCellAnchor>
  <xdr:twoCellAnchor editAs="oneCell">
    <xdr:from>
      <xdr:col>0</xdr:col>
      <xdr:colOff>0</xdr:colOff>
      <xdr:row>21</xdr:row>
      <xdr:rowOff>133350</xdr:rowOff>
    </xdr:from>
    <xdr:to>
      <xdr:col>0</xdr:col>
      <xdr:colOff>0</xdr:colOff>
      <xdr:row>24</xdr:row>
      <xdr:rowOff>0</xdr:rowOff>
    </xdr:to>
    <xdr:pic>
      <xdr:nvPicPr>
        <xdr:cNvPr id="17321" name="Picture 1218" descr="http://brand-microsite.pearson.com/content/dam/pearson-brandmicrosite/images/pages/logos/Pearson_WebBar_Bottom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4391025"/>
          <a:ext cx="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21</xdr:row>
      <xdr:rowOff>161925</xdr:rowOff>
    </xdr:from>
    <xdr:to>
      <xdr:col>0</xdr:col>
      <xdr:colOff>0</xdr:colOff>
      <xdr:row>24</xdr:row>
      <xdr:rowOff>0</xdr:rowOff>
    </xdr:to>
    <xdr:pic>
      <xdr:nvPicPr>
        <xdr:cNvPr id="17322" name="Picture 1218" descr="http://brand-microsite.pearson.com/content/dam/pearson-brandmicrosite/images/pages/logos/Pearson_WebBar_Bottom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4419600"/>
          <a:ext cx="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21</xdr:row>
      <xdr:rowOff>161925</xdr:rowOff>
    </xdr:from>
    <xdr:to>
      <xdr:col>0</xdr:col>
      <xdr:colOff>0</xdr:colOff>
      <xdr:row>24</xdr:row>
      <xdr:rowOff>0</xdr:rowOff>
    </xdr:to>
    <xdr:pic>
      <xdr:nvPicPr>
        <xdr:cNvPr id="17323" name="Picture 1218" descr="http://brand-microsite.pearson.com/content/dam/pearson-brandmicrosite/images/pages/logos/Pearson_WebBar_Bottom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4419600"/>
          <a:ext cx="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21</xdr:row>
      <xdr:rowOff>161925</xdr:rowOff>
    </xdr:from>
    <xdr:to>
      <xdr:col>0</xdr:col>
      <xdr:colOff>0</xdr:colOff>
      <xdr:row>24</xdr:row>
      <xdr:rowOff>0</xdr:rowOff>
    </xdr:to>
    <xdr:pic>
      <xdr:nvPicPr>
        <xdr:cNvPr id="17324" name="Picture 1218" descr="http://brand-microsite.pearson.com/content/dam/pearson-brandmicrosite/images/pages/logos/Pearson_WebBar_Bottom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4419600"/>
          <a:ext cx="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20</xdr:row>
      <xdr:rowOff>161927</xdr:rowOff>
    </xdr:from>
    <xdr:to>
      <xdr:col>16384</xdr:col>
      <xdr:colOff>57149</xdr:colOff>
      <xdr:row>23</xdr:row>
      <xdr:rowOff>190499</xdr:rowOff>
    </xdr:to>
    <xdr:pic>
      <xdr:nvPicPr>
        <xdr:cNvPr id="13" name="Picture 12" descr="image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4229102"/>
          <a:ext cx="10248899" cy="600072"/>
        </a:xfrm>
        <a:prstGeom prst="rect">
          <a:avLst/>
        </a:prstGeom>
      </xdr:spPr>
    </xdr:pic>
    <xdr:clientData/>
  </xdr:twoCellAnchor>
  <xdr:twoCellAnchor>
    <xdr:from>
      <xdr:col>7</xdr:col>
      <xdr:colOff>3143250</xdr:colOff>
      <xdr:row>14</xdr:row>
      <xdr:rowOff>0</xdr:rowOff>
    </xdr:from>
    <xdr:to>
      <xdr:col>8</xdr:col>
      <xdr:colOff>323850</xdr:colOff>
      <xdr:row>16</xdr:row>
      <xdr:rowOff>0</xdr:rowOff>
    </xdr:to>
    <xdr:sp macro="[0]!Awd_Clear" textlink="">
      <xdr:nvSpPr>
        <xdr:cNvPr id="12" name="Rounded Rectangle 11"/>
        <xdr:cNvSpPr/>
      </xdr:nvSpPr>
      <xdr:spPr>
        <a:xfrm>
          <a:off x="5105400" y="2733675"/>
          <a:ext cx="1152525" cy="571500"/>
        </a:xfrm>
        <a:prstGeom prst="roundRect">
          <a:avLst/>
        </a:prstGeom>
        <a:solidFill>
          <a:srgbClr val="F3702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latin typeface="Verdana" pitchFamily="34" charset="0"/>
              <a:ea typeface="Verdana" pitchFamily="34" charset="0"/>
              <a:cs typeface="Verdana" pitchFamily="34" charset="0"/>
            </a:rPr>
            <a:t>Clear</a:t>
          </a:r>
          <a:r>
            <a:rPr lang="en-US" sz="1200" b="1" baseline="0">
              <a:latin typeface="Verdana" pitchFamily="34" charset="0"/>
              <a:ea typeface="Verdana" pitchFamily="34" charset="0"/>
              <a:cs typeface="Verdana" pitchFamily="34" charset="0"/>
            </a:rPr>
            <a:t> All</a:t>
          </a:r>
          <a:endParaRPr lang="en-US" sz="1200" b="1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7</xdr:row>
      <xdr:rowOff>2</xdr:rowOff>
    </xdr:from>
    <xdr:to>
      <xdr:col>13</xdr:col>
      <xdr:colOff>361950</xdr:colOff>
      <xdr:row>11</xdr:row>
      <xdr:rowOff>104776</xdr:rowOff>
    </xdr:to>
    <xdr:sp macro="" textlink="">
      <xdr:nvSpPr>
        <xdr:cNvPr id="3" name="TextBox 2"/>
        <xdr:cNvSpPr txBox="1"/>
      </xdr:nvSpPr>
      <xdr:spPr>
        <a:xfrm>
          <a:off x="8743950" y="1238252"/>
          <a:ext cx="1352550" cy="88582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Key:</a:t>
          </a:r>
          <a:r>
            <a:rPr lang="en-US" sz="1000"/>
            <a:t> 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 -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Unclassified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en-US" sz="10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     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L1 -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Level 1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P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Pass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M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Merit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D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Distinction</a:t>
          </a:r>
          <a:r>
            <a:rPr lang="en-US" sz="1000"/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2</xdr:row>
      <xdr:rowOff>85725</xdr:rowOff>
    </xdr:to>
    <xdr:pic>
      <xdr:nvPicPr>
        <xdr:cNvPr id="18109" name="Picture 130" descr="http://brand-microsite.pearson.com/content/dam/pearson-brandmicrosite/images/pages/logos/Pearson_WebBar_Top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5</xdr:col>
      <xdr:colOff>942974</xdr:colOff>
      <xdr:row>23</xdr:row>
      <xdr:rowOff>47625</xdr:rowOff>
    </xdr:from>
    <xdr:to>
      <xdr:col>7</xdr:col>
      <xdr:colOff>57150</xdr:colOff>
      <xdr:row>23</xdr:row>
      <xdr:rowOff>47625</xdr:rowOff>
    </xdr:to>
    <xdr:sp macro="" textlink="">
      <xdr:nvSpPr>
        <xdr:cNvPr id="6" name="TextBox 5"/>
        <xdr:cNvSpPr txBox="1"/>
      </xdr:nvSpPr>
      <xdr:spPr>
        <a:xfrm>
          <a:off x="1981199" y="5010150"/>
          <a:ext cx="427672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>
              <a:solidFill>
                <a:srgbClr val="ED6B06"/>
              </a:solidFill>
            </a:rPr>
            <a:t>2. Choose optional unit(s) by clicking on orange boxes above</a:t>
          </a:r>
        </a:p>
      </xdr:txBody>
    </xdr:sp>
    <xdr:clientData/>
  </xdr:twoCellAnchor>
  <xdr:twoCellAnchor editAs="absolute">
    <xdr:from>
      <xdr:col>12</xdr:col>
      <xdr:colOff>0</xdr:colOff>
      <xdr:row>12</xdr:row>
      <xdr:rowOff>38100</xdr:rowOff>
    </xdr:from>
    <xdr:to>
      <xdr:col>14</xdr:col>
      <xdr:colOff>9526</xdr:colOff>
      <xdr:row>20</xdr:row>
      <xdr:rowOff>47625</xdr:rowOff>
    </xdr:to>
    <xdr:sp macro="" textlink="">
      <xdr:nvSpPr>
        <xdr:cNvPr id="8" name="TextBox 7"/>
        <xdr:cNvSpPr txBox="1"/>
      </xdr:nvSpPr>
      <xdr:spPr>
        <a:xfrm>
          <a:off x="8677275" y="2381250"/>
          <a:ext cx="1571626" cy="1609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100" b="1">
              <a:solidFill>
                <a:srgbClr val="ED6B06"/>
              </a:solidFill>
            </a:rPr>
            <a:t>*If you wish to</a:t>
          </a:r>
          <a:r>
            <a:rPr lang="en-US" sz="1100" b="1" baseline="0">
              <a:solidFill>
                <a:srgbClr val="ED6B06"/>
              </a:solidFill>
            </a:rPr>
            <a:t> remove ONE unit  or grade simply click on it and press delete or backspace on your keyboard*</a:t>
          </a:r>
          <a:endParaRPr lang="en-US" sz="1100" b="1">
            <a:solidFill>
              <a:srgbClr val="ED6B06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2</xdr:row>
      <xdr:rowOff>28575</xdr:rowOff>
    </xdr:to>
    <xdr:pic>
      <xdr:nvPicPr>
        <xdr:cNvPr id="18114" name="Picture 1218" descr="http://brand-microsite.pearson.com/content/dam/pearson-brandmicrosite/images/pages/logos/Pearson_WebBar_Bottom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32</xdr:row>
      <xdr:rowOff>180975</xdr:rowOff>
    </xdr:from>
    <xdr:to>
      <xdr:col>0</xdr:col>
      <xdr:colOff>0</xdr:colOff>
      <xdr:row>34</xdr:row>
      <xdr:rowOff>76200</xdr:rowOff>
    </xdr:to>
    <xdr:pic>
      <xdr:nvPicPr>
        <xdr:cNvPr id="18115" name="Picture 1218" descr="http://brand-microsite.pearson.com/content/dam/pearson-brandmicrosite/images/pages/logos/Pearson_WebBar_Bottom_Orange_RGB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248400"/>
          <a:ext cx="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9</xdr:col>
      <xdr:colOff>0</xdr:colOff>
      <xdr:row>1</xdr:row>
      <xdr:rowOff>66675</xdr:rowOff>
    </xdr:from>
    <xdr:to>
      <xdr:col>12</xdr:col>
      <xdr:colOff>1114425</xdr:colOff>
      <xdr:row>4</xdr:row>
      <xdr:rowOff>95250</xdr:rowOff>
    </xdr:to>
    <xdr:pic>
      <xdr:nvPicPr>
        <xdr:cNvPr id="12" name="Picture 9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72400" y="228600"/>
          <a:ext cx="20193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33</xdr:row>
      <xdr:rowOff>76200</xdr:rowOff>
    </xdr:from>
    <xdr:to>
      <xdr:col>16384</xdr:col>
      <xdr:colOff>66674</xdr:colOff>
      <xdr:row>34</xdr:row>
      <xdr:rowOff>361949</xdr:rowOff>
    </xdr:to>
    <xdr:pic>
      <xdr:nvPicPr>
        <xdr:cNvPr id="13" name="Picture 12" descr="image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6324600"/>
          <a:ext cx="10639424" cy="619124"/>
        </a:xfrm>
        <a:prstGeom prst="rect">
          <a:avLst/>
        </a:prstGeom>
      </xdr:spPr>
    </xdr:pic>
    <xdr:clientData/>
  </xdr:twoCellAnchor>
  <xdr:twoCellAnchor>
    <xdr:from>
      <xdr:col>6</xdr:col>
      <xdr:colOff>3381375</xdr:colOff>
      <xdr:row>28</xdr:row>
      <xdr:rowOff>9525</xdr:rowOff>
    </xdr:from>
    <xdr:to>
      <xdr:col>7</xdr:col>
      <xdr:colOff>333375</xdr:colOff>
      <xdr:row>30</xdr:row>
      <xdr:rowOff>0</xdr:rowOff>
    </xdr:to>
    <xdr:sp macro="[0]!Cert_Clear" textlink="">
      <xdr:nvSpPr>
        <xdr:cNvPr id="10" name="Rounded Rectangle 9"/>
        <xdr:cNvSpPr/>
      </xdr:nvSpPr>
      <xdr:spPr>
        <a:xfrm>
          <a:off x="5372100" y="3943350"/>
          <a:ext cx="1162050" cy="590550"/>
        </a:xfrm>
        <a:prstGeom prst="roundRect">
          <a:avLst/>
        </a:prstGeom>
        <a:solidFill>
          <a:srgbClr val="F3702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latin typeface="Verdana" pitchFamily="34" charset="0"/>
              <a:ea typeface="Verdana" pitchFamily="34" charset="0"/>
              <a:cs typeface="Verdana" pitchFamily="34" charset="0"/>
            </a:rPr>
            <a:t>Clear</a:t>
          </a:r>
          <a:r>
            <a:rPr lang="en-US" sz="1200" b="1" baseline="0">
              <a:latin typeface="Verdana" pitchFamily="34" charset="0"/>
              <a:ea typeface="Verdana" pitchFamily="34" charset="0"/>
              <a:cs typeface="Verdana" pitchFamily="34" charset="0"/>
            </a:rPr>
            <a:t> All</a:t>
          </a:r>
          <a:endParaRPr lang="en-US" sz="1200" b="1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8</xdr:col>
          <xdr:colOff>1130300</xdr:colOff>
          <xdr:row>15</xdr:row>
          <xdr:rowOff>0</xdr:rowOff>
        </xdr:to>
        <xdr:sp macro="" textlink="">
          <xdr:nvSpPr>
            <xdr:cNvPr id="9574" name="Drop Down 358" hidden="1">
              <a:extLst>
                <a:ext uri="{63B3BB69-23CF-44E3-9099-C40C66FF867C}">
                  <a14:compatExt spid="_x0000_s9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8</xdr:col>
          <xdr:colOff>1130300</xdr:colOff>
          <xdr:row>14</xdr:row>
          <xdr:rowOff>0</xdr:rowOff>
        </xdr:to>
        <xdr:sp macro="" textlink="">
          <xdr:nvSpPr>
            <xdr:cNvPr id="9573" name="Drop Down 357" hidden="1">
              <a:extLst>
                <a:ext uri="{63B3BB69-23CF-44E3-9099-C40C66FF867C}">
                  <a14:compatExt spid="_x0000_s9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8</xdr:col>
          <xdr:colOff>1130300</xdr:colOff>
          <xdr:row>23</xdr:row>
          <xdr:rowOff>0</xdr:rowOff>
        </xdr:to>
        <xdr:sp macro="" textlink="">
          <xdr:nvSpPr>
            <xdr:cNvPr id="9570" name="Drop Down 354" hidden="1">
              <a:extLst>
                <a:ext uri="{63B3BB69-23CF-44E3-9099-C40C66FF867C}">
                  <a14:compatExt spid="_x0000_s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8</xdr:col>
          <xdr:colOff>1130300</xdr:colOff>
          <xdr:row>24</xdr:row>
          <xdr:rowOff>0</xdr:rowOff>
        </xdr:to>
        <xdr:sp macro="" textlink="">
          <xdr:nvSpPr>
            <xdr:cNvPr id="9571" name="Drop Down 355" hidden="1">
              <a:extLst>
                <a:ext uri="{63B3BB69-23CF-44E3-9099-C40C66FF867C}">
                  <a14:compatExt spid="_x0000_s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8</xdr:col>
          <xdr:colOff>1130300</xdr:colOff>
          <xdr:row>25</xdr:row>
          <xdr:rowOff>0</xdr:rowOff>
        </xdr:to>
        <xdr:sp macro="" textlink="">
          <xdr:nvSpPr>
            <xdr:cNvPr id="9575" name="Drop Down 359" hidden="1">
              <a:extLst>
                <a:ext uri="{63B3BB69-23CF-44E3-9099-C40C66FF867C}">
                  <a14:compatExt spid="_x0000_s9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8</xdr:col>
          <xdr:colOff>1130300</xdr:colOff>
          <xdr:row>20</xdr:row>
          <xdr:rowOff>266700</xdr:rowOff>
        </xdr:to>
        <xdr:sp macro="" textlink="">
          <xdr:nvSpPr>
            <xdr:cNvPr id="9577" name="Drop Down 361" hidden="1">
              <a:extLst>
                <a:ext uri="{63B3BB69-23CF-44E3-9099-C40C66FF867C}">
                  <a14:compatExt spid="_x0000_s9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228599</xdr:colOff>
      <xdr:row>7</xdr:row>
      <xdr:rowOff>0</xdr:rowOff>
    </xdr:from>
    <xdr:to>
      <xdr:col>12</xdr:col>
      <xdr:colOff>971550</xdr:colOff>
      <xdr:row>11</xdr:row>
      <xdr:rowOff>180975</xdr:rowOff>
    </xdr:to>
    <xdr:sp macro="" textlink="">
      <xdr:nvSpPr>
        <xdr:cNvPr id="2" name="TextBox 1"/>
        <xdr:cNvSpPr txBox="1"/>
      </xdr:nvSpPr>
      <xdr:spPr>
        <a:xfrm>
          <a:off x="8439149" y="1257300"/>
          <a:ext cx="1352551" cy="9429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Key:</a:t>
          </a:r>
          <a:r>
            <a:rPr lang="en-US" sz="1000"/>
            <a:t> 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 -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Unclassified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en-US" sz="10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     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L1 -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Level 1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P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Pass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M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Merit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D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Distinction</a:t>
          </a:r>
          <a:r>
            <a:rPr lang="en-US" sz="1000"/>
            <a:t> </a:t>
          </a:r>
        </a:p>
      </xdr:txBody>
    </xdr:sp>
    <xdr:clientData/>
  </xdr:twoCellAnchor>
  <xdr:twoCellAnchor editAs="oneCell">
    <xdr:from>
      <xdr:col>0</xdr:col>
      <xdr:colOff>0</xdr:colOff>
      <xdr:row>45</xdr:row>
      <xdr:rowOff>123825</xdr:rowOff>
    </xdr:from>
    <xdr:to>
      <xdr:col>16384</xdr:col>
      <xdr:colOff>66674</xdr:colOff>
      <xdr:row>48</xdr:row>
      <xdr:rowOff>190499</xdr:rowOff>
    </xdr:to>
    <xdr:pic>
      <xdr:nvPicPr>
        <xdr:cNvPr id="3" name="Picture 2" descr="image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6372225"/>
          <a:ext cx="10286999" cy="638174"/>
        </a:xfrm>
        <a:prstGeom prst="rect">
          <a:avLst/>
        </a:prstGeom>
      </xdr:spPr>
    </xdr:pic>
    <xdr:clientData/>
  </xdr:twoCellAnchor>
  <xdr:twoCellAnchor editAs="absolute">
    <xdr:from>
      <xdr:col>10</xdr:col>
      <xdr:colOff>285750</xdr:colOff>
      <xdr:row>1</xdr:row>
      <xdr:rowOff>38100</xdr:rowOff>
    </xdr:from>
    <xdr:to>
      <xdr:col>12</xdr:col>
      <xdr:colOff>933450</xdr:colOff>
      <xdr:row>4</xdr:row>
      <xdr:rowOff>133350</xdr:rowOff>
    </xdr:to>
    <xdr:pic>
      <xdr:nvPicPr>
        <xdr:cNvPr id="4" name="Picture 9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800975" y="228600"/>
          <a:ext cx="1952625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3305175</xdr:colOff>
      <xdr:row>41</xdr:row>
      <xdr:rowOff>0</xdr:rowOff>
    </xdr:from>
    <xdr:to>
      <xdr:col>7</xdr:col>
      <xdr:colOff>333375</xdr:colOff>
      <xdr:row>43</xdr:row>
      <xdr:rowOff>0</xdr:rowOff>
    </xdr:to>
    <xdr:sp macro="[0]!ExtCert_Clear" textlink="">
      <xdr:nvSpPr>
        <xdr:cNvPr id="5" name="Rounded Rectangle 4"/>
        <xdr:cNvSpPr/>
      </xdr:nvSpPr>
      <xdr:spPr>
        <a:xfrm>
          <a:off x="5314950" y="7353300"/>
          <a:ext cx="1171575" cy="571500"/>
        </a:xfrm>
        <a:prstGeom prst="roundRect">
          <a:avLst/>
        </a:prstGeom>
        <a:solidFill>
          <a:srgbClr val="F3702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latin typeface="Verdana" pitchFamily="34" charset="0"/>
              <a:ea typeface="Verdana" pitchFamily="34" charset="0"/>
              <a:cs typeface="Verdana" pitchFamily="34" charset="0"/>
            </a:rPr>
            <a:t>Clear</a:t>
          </a:r>
          <a:r>
            <a:rPr lang="en-US" sz="1200" b="1" baseline="0">
              <a:latin typeface="Verdana" pitchFamily="34" charset="0"/>
              <a:ea typeface="Verdana" pitchFamily="34" charset="0"/>
              <a:cs typeface="Verdana" pitchFamily="34" charset="0"/>
            </a:rPr>
            <a:t> All</a:t>
          </a:r>
          <a:endParaRPr lang="en-US" sz="1200" b="1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180976</xdr:colOff>
      <xdr:row>6</xdr:row>
      <xdr:rowOff>180975</xdr:rowOff>
    </xdr:from>
    <xdr:to>
      <xdr:col>13</xdr:col>
      <xdr:colOff>638174</xdr:colOff>
      <xdr:row>11</xdr:row>
      <xdr:rowOff>180975</xdr:rowOff>
    </xdr:to>
    <xdr:sp macro="" textlink="">
      <xdr:nvSpPr>
        <xdr:cNvPr id="2" name="TextBox 1"/>
        <xdr:cNvSpPr txBox="1"/>
      </xdr:nvSpPr>
      <xdr:spPr>
        <a:xfrm>
          <a:off x="8848726" y="1247775"/>
          <a:ext cx="1352548" cy="9525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Key:</a:t>
          </a:r>
          <a:r>
            <a:rPr lang="en-US" sz="1000"/>
            <a:t> 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 -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Unclassified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</a:p>
        <a:p>
          <a:r>
            <a:rPr lang="en-US" sz="10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      </a:t>
          </a:r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L1 -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Level 1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P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Pass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M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Merit</a:t>
          </a:r>
          <a:r>
            <a:rPr lang="en-US" sz="1000"/>
            <a:t>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 </a:t>
          </a:r>
          <a:r>
            <a:rPr lang="en-US" sz="1000"/>
            <a:t> </a:t>
          </a:r>
        </a:p>
        <a:p>
          <a:r>
            <a:rPr lang="en-US" sz="10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          D</a:t>
          </a:r>
          <a:r>
            <a:rPr lang="en-US" sz="1000"/>
            <a:t> - </a:t>
          </a:r>
          <a:r>
            <a:rPr lang="en-US" sz="10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Distinction</a:t>
          </a:r>
          <a:r>
            <a:rPr lang="en-US" sz="1000"/>
            <a:t> </a:t>
          </a:r>
        </a:p>
      </xdr:txBody>
    </xdr:sp>
    <xdr:clientData/>
  </xdr:twoCellAnchor>
  <xdr:twoCellAnchor editAs="oneCell">
    <xdr:from>
      <xdr:col>0</xdr:col>
      <xdr:colOff>0</xdr:colOff>
      <xdr:row>52</xdr:row>
      <xdr:rowOff>123825</xdr:rowOff>
    </xdr:from>
    <xdr:to>
      <xdr:col>15</xdr:col>
      <xdr:colOff>0</xdr:colOff>
      <xdr:row>55</xdr:row>
      <xdr:rowOff>190499</xdr:rowOff>
    </xdr:to>
    <xdr:pic>
      <xdr:nvPicPr>
        <xdr:cNvPr id="3" name="Picture 2" descr="image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5495925"/>
          <a:ext cx="10306049" cy="638174"/>
        </a:xfrm>
        <a:prstGeom prst="rect">
          <a:avLst/>
        </a:prstGeom>
      </xdr:spPr>
    </xdr:pic>
    <xdr:clientData/>
  </xdr:twoCellAnchor>
  <xdr:twoCellAnchor editAs="absolute">
    <xdr:from>
      <xdr:col>8</xdr:col>
      <xdr:colOff>614186</xdr:colOff>
      <xdr:row>1</xdr:row>
      <xdr:rowOff>38100</xdr:rowOff>
    </xdr:from>
    <xdr:to>
      <xdr:col>13</xdr:col>
      <xdr:colOff>233186</xdr:colOff>
      <xdr:row>4</xdr:row>
      <xdr:rowOff>133350</xdr:rowOff>
    </xdr:to>
    <xdr:pic>
      <xdr:nvPicPr>
        <xdr:cNvPr id="4" name="Picture 9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843661" y="228600"/>
          <a:ext cx="1952625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3733800</xdr:colOff>
      <xdr:row>48</xdr:row>
      <xdr:rowOff>1</xdr:rowOff>
    </xdr:from>
    <xdr:to>
      <xdr:col>7</xdr:col>
      <xdr:colOff>314325</xdr:colOff>
      <xdr:row>50</xdr:row>
      <xdr:rowOff>5013</xdr:rowOff>
    </xdr:to>
    <xdr:sp macro="[0]!Dip_Clear" textlink="">
      <xdr:nvSpPr>
        <xdr:cNvPr id="7" name="Rounded Rectangle 6"/>
        <xdr:cNvSpPr/>
      </xdr:nvSpPr>
      <xdr:spPr>
        <a:xfrm>
          <a:off x="5734050" y="9067801"/>
          <a:ext cx="1190625" cy="576512"/>
        </a:xfrm>
        <a:prstGeom prst="roundRect">
          <a:avLst/>
        </a:prstGeom>
        <a:solidFill>
          <a:srgbClr val="ED6B0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>
              <a:latin typeface="Verdana" pitchFamily="34" charset="0"/>
              <a:ea typeface="Verdana" pitchFamily="34" charset="0"/>
              <a:cs typeface="Verdana" pitchFamily="34" charset="0"/>
            </a:rPr>
            <a:t>Clear 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es_ge/AppData/Roaming/Microsoft/Excel/BTEC%20(NQF)%20Grade%20Calculator%20-%20V0.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es_ge/AppData/Roaming/Microsoft/Excel/BTEC%20(NQF)%20Grade%20Calculator%20-%20V0.4%20TE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es_ge/AppData/Roaming/Microsoft/Excel/BTEC%20(NQF)%20Grade%20Calculator%20-%20Certificat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ther Sectors"/>
      <sheetName val="Applied Science"/>
      <sheetName val="I&amp;CT"/>
      <sheetName val="Data"/>
      <sheetName val="Drop Down"/>
    </sheetNames>
    <sheetDataSet>
      <sheetData sheetId="0"/>
      <sheetData sheetId="1"/>
      <sheetData sheetId="2"/>
      <sheetData sheetId="3">
        <row r="22">
          <cell r="A22" t="str">
            <v>U</v>
          </cell>
        </row>
        <row r="23">
          <cell r="A23" t="str">
            <v>L1</v>
          </cell>
        </row>
        <row r="24">
          <cell r="A24" t="str">
            <v>P</v>
          </cell>
        </row>
        <row r="25">
          <cell r="A25" t="str">
            <v>M</v>
          </cell>
        </row>
        <row r="26">
          <cell r="A26" t="str">
            <v>D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tart"/>
      <sheetName val="Award"/>
      <sheetName val="Certificate"/>
      <sheetName val="Cert Unit Data"/>
      <sheetName val="Sheet2"/>
      <sheetName val="Cert Validation"/>
      <sheetName val="Sheet1 (2)"/>
      <sheetName val="Data"/>
      <sheetName val="Drop Down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 t="str">
            <v>Applied Science</v>
          </cell>
        </row>
        <row r="13">
          <cell r="C13" t="str">
            <v>Art and Design</v>
          </cell>
        </row>
        <row r="14">
          <cell r="C14" t="str">
            <v>Business</v>
          </cell>
        </row>
        <row r="15">
          <cell r="C15" t="str">
            <v>CPLD</v>
          </cell>
        </row>
        <row r="16">
          <cell r="C16" t="str">
            <v>Construction and the Built Environment</v>
          </cell>
        </row>
        <row r="17">
          <cell r="C17" t="str">
            <v>Creative Digital Media Production</v>
          </cell>
        </row>
        <row r="18">
          <cell r="C18" t="str">
            <v>Engineering</v>
          </cell>
        </row>
        <row r="19">
          <cell r="C19" t="str">
            <v>Health and Social Care</v>
          </cell>
        </row>
        <row r="20">
          <cell r="C20" t="str">
            <v>Hospitality</v>
          </cell>
        </row>
        <row r="21">
          <cell r="C21" t="str">
            <v>Information and Creative Technology</v>
          </cell>
        </row>
        <row r="22">
          <cell r="C22" t="str">
            <v>Music</v>
          </cell>
        </row>
        <row r="23">
          <cell r="C23" t="str">
            <v>Performing Arts</v>
          </cell>
        </row>
        <row r="24">
          <cell r="C24" t="str">
            <v>Public Services</v>
          </cell>
        </row>
        <row r="25">
          <cell r="C25" t="str">
            <v>Sport</v>
          </cell>
        </row>
        <row r="26">
          <cell r="C26" t="str">
            <v>Travel and Tourism</v>
          </cell>
        </row>
      </sheetData>
      <sheetData sheetId="9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ther Sectors"/>
      <sheetName val="Sheet1"/>
      <sheetName val="Drop Down"/>
      <sheetName val="Sheet3"/>
    </sheetNames>
    <sheetDataSet>
      <sheetData sheetId="0" refreshError="1"/>
      <sheetData sheetId="1">
        <row r="3">
          <cell r="D3" t="str">
            <v>Art and Design</v>
          </cell>
          <cell r="E3" t="str">
            <v>Units 1 and 2</v>
          </cell>
        </row>
        <row r="4">
          <cell r="D4" t="str">
            <v>Art and Design Design Crafts</v>
          </cell>
          <cell r="E4" t="str">
            <v>Units 1 and 2</v>
          </cell>
        </row>
        <row r="5">
          <cell r="D5" t="str">
            <v>Art and Design Fashion and Textiles</v>
          </cell>
          <cell r="E5" t="str">
            <v>Units 1 and 2</v>
          </cell>
        </row>
        <row r="6">
          <cell r="D6" t="str">
            <v>Art and Design Photography</v>
          </cell>
          <cell r="E6" t="str">
            <v>Units 1 and 2</v>
          </cell>
        </row>
        <row r="7">
          <cell r="D7" t="str">
            <v>Art and Design Product Design</v>
          </cell>
          <cell r="E7" t="str">
            <v>Units 1 and 2</v>
          </cell>
        </row>
        <row r="8">
          <cell r="D8" t="str">
            <v>Art and Design Visual Arts</v>
          </cell>
          <cell r="E8" t="str">
            <v>Units 1 and 2</v>
          </cell>
        </row>
        <row r="9">
          <cell r="D9" t="str">
            <v>Art and Design Visual Communication</v>
          </cell>
          <cell r="E9" t="str">
            <v>Units 1 and 2</v>
          </cell>
        </row>
        <row r="10">
          <cell r="D10" t="str">
            <v>Business</v>
          </cell>
          <cell r="E10" t="str">
            <v>Units 1 and 2</v>
          </cell>
        </row>
        <row r="11">
          <cell r="D11" t="str">
            <v>CPLD</v>
          </cell>
          <cell r="E11" t="str">
            <v>Units 1 and 2</v>
          </cell>
        </row>
        <row r="12">
          <cell r="D12" t="str">
            <v>Construction and the Built Environment</v>
          </cell>
          <cell r="E12" t="str">
            <v>Units 1 and 2</v>
          </cell>
        </row>
        <row r="13">
          <cell r="D13" t="str">
            <v>Creative Digital Media Production</v>
          </cell>
          <cell r="E13" t="str">
            <v>Units 1 and 2</v>
          </cell>
        </row>
        <row r="14">
          <cell r="D14" t="str">
            <v>Engineering</v>
          </cell>
          <cell r="E14" t="str">
            <v>Units 1 and 2</v>
          </cell>
        </row>
        <row r="15">
          <cell r="D15" t="str">
            <v>Health and Social Care</v>
          </cell>
          <cell r="E15" t="str">
            <v>Units 1 and 2</v>
          </cell>
        </row>
        <row r="16">
          <cell r="D16" t="str">
            <v>Hospitality</v>
          </cell>
          <cell r="E16" t="str">
            <v>Units 1 and 2</v>
          </cell>
        </row>
        <row r="17">
          <cell r="D17" t="str">
            <v>Information and Creative Technology</v>
          </cell>
          <cell r="E17" t="str">
            <v>Units 1 or 2 and 3</v>
          </cell>
        </row>
        <row r="18">
          <cell r="D18" t="str">
            <v>Music</v>
          </cell>
          <cell r="E18" t="str">
            <v>Units 1 and 2</v>
          </cell>
        </row>
        <row r="19">
          <cell r="D19" t="str">
            <v>Performing Arts Acting</v>
          </cell>
          <cell r="E19" t="str">
            <v>Units 1 and 2</v>
          </cell>
        </row>
        <row r="20">
          <cell r="D20" t="str">
            <v>Performing Arts Dance</v>
          </cell>
          <cell r="E20" t="str">
            <v>Units 1 and 2</v>
          </cell>
        </row>
        <row r="21">
          <cell r="D21" t="str">
            <v>Performing Arts Musical Theatre</v>
          </cell>
          <cell r="E21" t="str">
            <v>Units 1 and 2</v>
          </cell>
        </row>
        <row r="22">
          <cell r="D22" t="str">
            <v>Performing Arts Production</v>
          </cell>
          <cell r="E22" t="str">
            <v>Units 1 and 2</v>
          </cell>
        </row>
        <row r="23">
          <cell r="D23" t="str">
            <v>Sport</v>
          </cell>
          <cell r="E23" t="str">
            <v>Units 1 and 2</v>
          </cell>
        </row>
        <row r="24">
          <cell r="D24" t="str">
            <v>Travel and Tourism</v>
          </cell>
          <cell r="E24" t="str">
            <v>Units 1 and 2</v>
          </cell>
        </row>
        <row r="27">
          <cell r="D27" t="str">
            <v>Art and Design</v>
          </cell>
          <cell r="E27" t="str">
            <v>Units 6 and 7</v>
          </cell>
        </row>
        <row r="28">
          <cell r="D28" t="str">
            <v>Art and Design Design Crafts</v>
          </cell>
          <cell r="E28" t="str">
            <v>Units 6, 7 and 9</v>
          </cell>
        </row>
        <row r="29">
          <cell r="D29" t="str">
            <v>Art and Design Fashion and Textiles</v>
          </cell>
          <cell r="E29" t="str">
            <v>Units 6, 7, 10 and 12</v>
          </cell>
        </row>
        <row r="30">
          <cell r="D30" t="str">
            <v>Art and Design Photography</v>
          </cell>
          <cell r="E30" t="str">
            <v>Units 6, 7 and 14</v>
          </cell>
        </row>
        <row r="31">
          <cell r="D31" t="str">
            <v>Art and Design Product Design</v>
          </cell>
          <cell r="E31" t="str">
            <v>Units 6, 7 and 15</v>
          </cell>
        </row>
        <row r="32">
          <cell r="D32" t="str">
            <v>Art and Design Visual Arts</v>
          </cell>
          <cell r="E32" t="str">
            <v>Units 6, 7 and 13</v>
          </cell>
        </row>
        <row r="33">
          <cell r="D33" t="str">
            <v>Art and Design Visual Communication</v>
          </cell>
          <cell r="E33" t="str">
            <v>Units 6, 7 and 11</v>
          </cell>
        </row>
        <row r="34">
          <cell r="D34" t="str">
            <v>Business</v>
          </cell>
          <cell r="E34" t="str">
            <v>Unit 9</v>
          </cell>
        </row>
        <row r="35">
          <cell r="D35" t="str">
            <v>CPLD</v>
          </cell>
          <cell r="E35" t="str">
            <v>Units 3 and 4</v>
          </cell>
        </row>
        <row r="36">
          <cell r="D36" t="str">
            <v>Construction and the Built Environment</v>
          </cell>
          <cell r="E36" t="str">
            <v>Units 3 and 11</v>
          </cell>
        </row>
        <row r="37">
          <cell r="D37" t="str">
            <v>Creative Digital Media Production</v>
          </cell>
          <cell r="E37" t="str">
            <v>Unit 8</v>
          </cell>
        </row>
        <row r="38">
          <cell r="D38" t="str">
            <v>Engineering</v>
          </cell>
          <cell r="E38" t="str">
            <v>Units 9 and 10</v>
          </cell>
        </row>
        <row r="39">
          <cell r="D39" t="str">
            <v>Health and Social Care</v>
          </cell>
          <cell r="E39" t="str">
            <v>Units 3 and 9</v>
          </cell>
        </row>
        <row r="40">
          <cell r="D40" t="str">
            <v>Hospitality</v>
          </cell>
          <cell r="E40" t="str">
            <v>Units 3 and 9</v>
          </cell>
        </row>
        <row r="41">
          <cell r="D41" t="str">
            <v>Information and Creative Technology</v>
          </cell>
          <cell r="E41" t="str">
            <v>None</v>
          </cell>
        </row>
        <row r="42">
          <cell r="D42" t="str">
            <v>Music</v>
          </cell>
          <cell r="E42" t="str">
            <v>Unit 8</v>
          </cell>
        </row>
        <row r="43">
          <cell r="D43" t="str">
            <v>Performing Arts Acting</v>
          </cell>
          <cell r="E43" t="str">
            <v>Units 3 and 8</v>
          </cell>
        </row>
        <row r="44">
          <cell r="D44" t="str">
            <v>Performing Arts Dance</v>
          </cell>
          <cell r="E44" t="str">
            <v>Units 4 and 8</v>
          </cell>
        </row>
        <row r="45">
          <cell r="D45" t="str">
            <v>Performing Arts Musical Theatre</v>
          </cell>
          <cell r="E45" t="str">
            <v>Units 5 and 8</v>
          </cell>
        </row>
        <row r="46">
          <cell r="D46" t="str">
            <v>Performing Arts Production</v>
          </cell>
          <cell r="E46" t="str">
            <v>Units 7 and 8</v>
          </cell>
        </row>
        <row r="47">
          <cell r="D47" t="str">
            <v>Sport</v>
          </cell>
          <cell r="E47" t="str">
            <v>Unit 7</v>
          </cell>
        </row>
        <row r="48">
          <cell r="D48" t="str">
            <v>Travel and Tourism</v>
          </cell>
          <cell r="E48" t="str">
            <v>Units 4 and 7</v>
          </cell>
        </row>
        <row r="51">
          <cell r="D51" t="str">
            <v>Art and Design</v>
          </cell>
          <cell r="E51" t="str">
            <v>Choose remaining units from this group</v>
          </cell>
        </row>
        <row r="52">
          <cell r="D52" t="str">
            <v>Art and Design Design Crafts</v>
          </cell>
          <cell r="E52" t="str">
            <v>Choose remaining units from this group</v>
          </cell>
        </row>
        <row r="53">
          <cell r="D53" t="str">
            <v>Art and Design Fashion and Textiles</v>
          </cell>
          <cell r="E53" t="str">
            <v>No optional units available</v>
          </cell>
        </row>
        <row r="54">
          <cell r="D54" t="str">
            <v>Art and Design Photography</v>
          </cell>
          <cell r="E54" t="str">
            <v>Choose remaining units from this group</v>
          </cell>
        </row>
        <row r="55">
          <cell r="D55" t="str">
            <v>Art and Design Product Design</v>
          </cell>
          <cell r="E55" t="str">
            <v>Choose remaining units from this group NB - Unit 3 cannot be taken with Unit 11</v>
          </cell>
        </row>
        <row r="56">
          <cell r="D56" t="str">
            <v>Art and Design Visual Arts</v>
          </cell>
          <cell r="E56" t="str">
            <v>Choose remaining units from this group</v>
          </cell>
        </row>
        <row r="57">
          <cell r="D57" t="str">
            <v>Art and Design Visual Communication</v>
          </cell>
          <cell r="E57" t="str">
            <v>Choose remaining units from this group</v>
          </cell>
        </row>
        <row r="58">
          <cell r="D58" t="str">
            <v>Business</v>
          </cell>
          <cell r="E58" t="str">
            <v>Choose remaining units from this group</v>
          </cell>
        </row>
        <row r="59">
          <cell r="D59" t="str">
            <v>CPLD</v>
          </cell>
          <cell r="E59" t="str">
            <v>Choose remaining units from this group</v>
          </cell>
        </row>
        <row r="60">
          <cell r="D60" t="str">
            <v>Construction and the Built Environment</v>
          </cell>
          <cell r="E60" t="str">
            <v>Choose remaining units from this group</v>
          </cell>
        </row>
        <row r="61">
          <cell r="D61" t="str">
            <v>Creative Digital Media Production</v>
          </cell>
          <cell r="E61" t="str">
            <v>Learners must complete at least two units from this group</v>
          </cell>
        </row>
        <row r="62">
          <cell r="D62" t="str">
            <v>Engineering</v>
          </cell>
          <cell r="E62" t="str">
            <v>Choose remaining units from this group</v>
          </cell>
        </row>
        <row r="63">
          <cell r="D63" t="str">
            <v>Health and Social Care</v>
          </cell>
          <cell r="E63" t="str">
            <v>Choose remaining units from this group</v>
          </cell>
        </row>
        <row r="64">
          <cell r="D64" t="str">
            <v>Hospitality</v>
          </cell>
          <cell r="E64" t="str">
            <v>At least one unit from this group</v>
          </cell>
        </row>
        <row r="65">
          <cell r="D65" t="str">
            <v>Information and Creative Technology</v>
          </cell>
          <cell r="E65" t="str">
            <v>Choose remaining units from this group</v>
          </cell>
        </row>
        <row r="66">
          <cell r="D66" t="str">
            <v>Music</v>
          </cell>
          <cell r="E66" t="str">
            <v>Choose three units from this group</v>
          </cell>
        </row>
        <row r="67">
          <cell r="D67" t="str">
            <v>Performing Arts Acting</v>
          </cell>
          <cell r="E67" t="str">
            <v>Minimum two units from this group</v>
          </cell>
        </row>
        <row r="68">
          <cell r="D68" t="str">
            <v>Performing Arts Dance</v>
          </cell>
          <cell r="E68" t="str">
            <v>Minimum two units from this group</v>
          </cell>
        </row>
        <row r="69">
          <cell r="D69" t="str">
            <v>Performing Arts Musical Theatre</v>
          </cell>
          <cell r="E69" t="str">
            <v>Minimum two units from this group</v>
          </cell>
        </row>
        <row r="70">
          <cell r="D70" t="str">
            <v>Performing Arts Production</v>
          </cell>
          <cell r="E70" t="str">
            <v>Minimum two units from this group</v>
          </cell>
        </row>
        <row r="71">
          <cell r="D71" t="str">
            <v>Sport</v>
          </cell>
          <cell r="E71" t="str">
            <v>Choose remaining units from this group</v>
          </cell>
        </row>
        <row r="72">
          <cell r="D72" t="str">
            <v>Travel and Tourism</v>
          </cell>
          <cell r="E72" t="str">
            <v>Choose remaining units from this group</v>
          </cell>
        </row>
        <row r="75">
          <cell r="D75" t="str">
            <v>Art and Design</v>
          </cell>
          <cell r="E75" t="str">
            <v>No optional units from this group available</v>
          </cell>
        </row>
        <row r="76">
          <cell r="D76" t="str">
            <v>Art and Design Design Crafts</v>
          </cell>
          <cell r="E76" t="str">
            <v>No optional units from this group available</v>
          </cell>
        </row>
        <row r="77">
          <cell r="D77" t="str">
            <v>Art and Design Fashion and Textiles</v>
          </cell>
          <cell r="E77" t="str">
            <v>No optional units available</v>
          </cell>
        </row>
        <row r="78">
          <cell r="D78" t="str">
            <v>Art and Design Photography</v>
          </cell>
          <cell r="E78" t="str">
            <v>No optional units from this group available</v>
          </cell>
        </row>
        <row r="79">
          <cell r="D79" t="str">
            <v>Art and Design Product Design</v>
          </cell>
          <cell r="E79" t="str">
            <v>No optional units from this group available</v>
          </cell>
        </row>
        <row r="80">
          <cell r="D80" t="str">
            <v>Art and Design Visual Arts</v>
          </cell>
          <cell r="E80" t="str">
            <v>No optional units from this group available</v>
          </cell>
        </row>
        <row r="81">
          <cell r="D81" t="str">
            <v>Art and Design Visual Communication</v>
          </cell>
          <cell r="E81" t="str">
            <v>No optional units from this group available</v>
          </cell>
        </row>
        <row r="82">
          <cell r="D82" t="str">
            <v>Business</v>
          </cell>
          <cell r="E82" t="str">
            <v>No optional units from this group available</v>
          </cell>
        </row>
        <row r="83">
          <cell r="D83" t="str">
            <v>CPLD</v>
          </cell>
          <cell r="E83" t="str">
            <v>No optional units from this group available</v>
          </cell>
        </row>
        <row r="84">
          <cell r="D84" t="str">
            <v>Construction and the Built Environment</v>
          </cell>
          <cell r="E84" t="str">
            <v>No optional units from this group available</v>
          </cell>
        </row>
        <row r="85">
          <cell r="D85" t="str">
            <v>Creative Digital Media Production</v>
          </cell>
          <cell r="E85" t="str">
            <v>No limit to units chosen from this group</v>
          </cell>
        </row>
        <row r="86">
          <cell r="D86" t="str">
            <v>Engineering</v>
          </cell>
          <cell r="E86" t="str">
            <v>No optional units from this group available</v>
          </cell>
        </row>
        <row r="87">
          <cell r="D87" t="str">
            <v>Health and Social Care</v>
          </cell>
          <cell r="E87" t="str">
            <v>No optional units from this group available</v>
          </cell>
        </row>
        <row r="88">
          <cell r="D88" t="str">
            <v>Hospitality</v>
          </cell>
          <cell r="E88" t="str">
            <v>At least one unit from this group. NB - Unit 6 is a compulsory prerequisite of Unit 13</v>
          </cell>
        </row>
        <row r="89">
          <cell r="D89" t="str">
            <v>Information and Creative Technology</v>
          </cell>
          <cell r="E89" t="str">
            <v>No optional units from this group available</v>
          </cell>
        </row>
        <row r="90">
          <cell r="D90" t="str">
            <v>Music</v>
          </cell>
          <cell r="E90" t="str">
            <v>Choose one unit from this group</v>
          </cell>
        </row>
        <row r="91">
          <cell r="D91" t="str">
            <v>Performing Arts Acting</v>
          </cell>
          <cell r="E91" t="str">
            <v>Maximum one unit from this group</v>
          </cell>
        </row>
        <row r="92">
          <cell r="D92" t="str">
            <v>Performing Arts Dance</v>
          </cell>
          <cell r="E92" t="str">
            <v>Maximum one unit from this group</v>
          </cell>
        </row>
        <row r="93">
          <cell r="D93" t="str">
            <v>Performing Arts Musical Theatre</v>
          </cell>
          <cell r="E93" t="str">
            <v>Maximum one unit from this group</v>
          </cell>
        </row>
        <row r="94">
          <cell r="D94" t="str">
            <v>Performing Arts Production</v>
          </cell>
          <cell r="E94" t="str">
            <v>Maximum one unit from this group</v>
          </cell>
        </row>
        <row r="95">
          <cell r="D95" t="str">
            <v>Sport</v>
          </cell>
          <cell r="E95" t="str">
            <v>No optional units from this group available</v>
          </cell>
        </row>
        <row r="96">
          <cell r="D96" t="str">
            <v>Travel and Tourism</v>
          </cell>
          <cell r="E96" t="str">
            <v>No optional units from this group available</v>
          </cell>
        </row>
        <row r="98">
          <cell r="D98" t="str">
            <v>Creative Digital Media Production</v>
          </cell>
          <cell r="E98" t="str">
            <v>At least one Optional B Unit Required</v>
          </cell>
        </row>
        <row r="99">
          <cell r="D99" t="str">
            <v>Hospitality</v>
          </cell>
          <cell r="E99" t="str">
            <v>At least one Optional B Unit Required</v>
          </cell>
        </row>
        <row r="100">
          <cell r="D100" t="str">
            <v>Music</v>
          </cell>
          <cell r="E100" t="str">
            <v>One Optional B Unit Required</v>
          </cell>
        </row>
        <row r="101">
          <cell r="D101" t="str">
            <v>Performing Arts Acting</v>
          </cell>
          <cell r="E101" t="str">
            <v>One Optional B Unit Required</v>
          </cell>
        </row>
        <row r="102">
          <cell r="D102" t="str">
            <v>Performing Arts Dance</v>
          </cell>
          <cell r="E102" t="str">
            <v>One Optional B Unit Required</v>
          </cell>
        </row>
        <row r="103">
          <cell r="D103" t="str">
            <v>Performing Arts Musical Theatre</v>
          </cell>
          <cell r="E103" t="str">
            <v>One Optional B Unit Required</v>
          </cell>
        </row>
        <row r="104">
          <cell r="D104" t="str">
            <v>Performing Arts Production</v>
          </cell>
          <cell r="E104" t="str">
            <v>One Optional B Unit Required</v>
          </cell>
        </row>
      </sheetData>
      <sheetData sheetId="2" refreshError="1"/>
      <sheetData sheetId="3">
        <row r="3">
          <cell r="Q3" t="str">
            <v>Unit 3 - Communicating Ideas in 2D</v>
          </cell>
          <cell r="R3">
            <v>30</v>
          </cell>
          <cell r="S3" t="str">
            <v>Internal</v>
          </cell>
        </row>
        <row r="4">
          <cell r="Q4" t="str">
            <v>Unit 4 - Communicating Ideas in 3D</v>
          </cell>
          <cell r="R4">
            <v>30</v>
          </cell>
          <cell r="S4" t="str">
            <v>Internal</v>
          </cell>
        </row>
        <row r="5">
          <cell r="Q5" t="str">
            <v>Unit 5 - Developing an Art and Design Portfolio</v>
          </cell>
          <cell r="R5">
            <v>30</v>
          </cell>
          <cell r="S5" t="str">
            <v>Internal</v>
          </cell>
        </row>
        <row r="6">
          <cell r="Q6" t="str">
            <v>Unit 6 - Investigating Contextual References in Art and Design</v>
          </cell>
          <cell r="R6">
            <v>30</v>
          </cell>
          <cell r="S6" t="str">
            <v>Internal</v>
          </cell>
        </row>
        <row r="7">
          <cell r="Q7" t="str">
            <v>Unit 7 - Recording for Creative Intentions in Art and Design</v>
          </cell>
          <cell r="R7">
            <v>30</v>
          </cell>
          <cell r="S7" t="str">
            <v>External</v>
          </cell>
        </row>
        <row r="8">
          <cell r="Q8" t="str">
            <v>Unit 8 - Using Mobile Devices in Art and Design</v>
          </cell>
          <cell r="R8">
            <v>30</v>
          </cell>
          <cell r="S8" t="str">
            <v>Internal</v>
          </cell>
        </row>
        <row r="9">
          <cell r="Q9" t="str">
            <v>Unit 9 - Design Crafts Briefs</v>
          </cell>
          <cell r="R9">
            <v>60</v>
          </cell>
          <cell r="S9" t="str">
            <v>Internal</v>
          </cell>
        </row>
        <row r="10">
          <cell r="Q10" t="str">
            <v>Unit 10 - Fashion Briefs</v>
          </cell>
          <cell r="R10">
            <v>60</v>
          </cell>
          <cell r="S10" t="str">
            <v>Internal</v>
          </cell>
        </row>
        <row r="11">
          <cell r="Q11" t="str">
            <v>Unit 11 - Graphic Design Briefs</v>
          </cell>
          <cell r="R11">
            <v>60</v>
          </cell>
          <cell r="S11" t="str">
            <v>Internal</v>
          </cell>
        </row>
        <row r="12">
          <cell r="Q12" t="str">
            <v>Unit 12 - Textiles Briefs</v>
          </cell>
          <cell r="R12">
            <v>60</v>
          </cell>
          <cell r="S12" t="str">
            <v>Internal</v>
          </cell>
        </row>
        <row r="13">
          <cell r="Q13" t="str">
            <v>Unit 13 - Visual Arts Briefs</v>
          </cell>
          <cell r="R13">
            <v>60</v>
          </cell>
          <cell r="S13" t="str">
            <v>Internal</v>
          </cell>
        </row>
        <row r="14">
          <cell r="Q14" t="str">
            <v>Unit 14 - Photography Briefs</v>
          </cell>
          <cell r="R14">
            <v>60</v>
          </cell>
          <cell r="S14" t="str">
            <v>Internal</v>
          </cell>
        </row>
        <row r="15">
          <cell r="Q15" t="str">
            <v>Unit 15 - Designing for the Future</v>
          </cell>
          <cell r="R15">
            <v>60</v>
          </cell>
          <cell r="S15" t="str">
            <v>Internal</v>
          </cell>
        </row>
        <row r="16">
          <cell r="Q16" t="str">
            <v>Unit 3 - Promoting a Brand</v>
          </cell>
          <cell r="R16">
            <v>30</v>
          </cell>
          <cell r="S16" t="str">
            <v>Internal</v>
          </cell>
        </row>
        <row r="17">
          <cell r="Q17" t="str">
            <v>Unit 4 - Principles of Customer Service</v>
          </cell>
          <cell r="R17">
            <v>30</v>
          </cell>
          <cell r="S17" t="str">
            <v>Internal</v>
          </cell>
        </row>
        <row r="18">
          <cell r="Q18" t="str">
            <v>Unit 5 - Sales and Personal Selling</v>
          </cell>
          <cell r="R18">
            <v>30</v>
          </cell>
          <cell r="S18" t="str">
            <v>Internal</v>
          </cell>
        </row>
        <row r="19">
          <cell r="Q19" t="str">
            <v>Unit 6 - Introducing Retail Business</v>
          </cell>
          <cell r="R19">
            <v>30</v>
          </cell>
          <cell r="S19" t="str">
            <v>Internal</v>
          </cell>
        </row>
        <row r="20">
          <cell r="Q20" t="str">
            <v>Unit 7 - Providing Business Support</v>
          </cell>
          <cell r="R20">
            <v>30</v>
          </cell>
          <cell r="S20" t="str">
            <v>Internal</v>
          </cell>
        </row>
        <row r="21">
          <cell r="Q21" t="str">
            <v>Unit 8 - Recruitment, Selection and Employment</v>
          </cell>
          <cell r="R21">
            <v>30</v>
          </cell>
          <cell r="S21" t="str">
            <v>Internal</v>
          </cell>
        </row>
        <row r="22">
          <cell r="Q22" t="str">
            <v>Unit 10 - Using Business Documentation</v>
          </cell>
          <cell r="R22">
            <v>30</v>
          </cell>
          <cell r="S22" t="str">
            <v>Internal</v>
          </cell>
        </row>
        <row r="23">
          <cell r="Q23" t="str">
            <v>Unit 11 - Building Successful Business Teams</v>
          </cell>
          <cell r="R23">
            <v>30</v>
          </cell>
          <cell r="S23" t="str">
            <v>Internal</v>
          </cell>
        </row>
        <row r="24">
          <cell r="Q24" t="str">
            <v>Unit 12 - Introducing Law and Consumer Rights</v>
          </cell>
          <cell r="R24">
            <v>30</v>
          </cell>
          <cell r="S24" t="str">
            <v>Internal</v>
          </cell>
        </row>
        <row r="25">
          <cell r="Q25" t="str">
            <v>Unit 13 - Financial Planning and Forecasting</v>
          </cell>
          <cell r="R25">
            <v>30</v>
          </cell>
          <cell r="S25" t="str">
            <v>Internal</v>
          </cell>
        </row>
        <row r="26">
          <cell r="Q26" t="str">
            <v>Unit 14 - Business Online</v>
          </cell>
          <cell r="R26">
            <v>60</v>
          </cell>
          <cell r="S26" t="str">
            <v>Internal</v>
          </cell>
        </row>
        <row r="27">
          <cell r="Q27" t="str">
            <v>Unit 15 - Public Sector Business</v>
          </cell>
          <cell r="R27">
            <v>30</v>
          </cell>
          <cell r="S27" t="str">
            <v>Internal</v>
          </cell>
        </row>
        <row r="28">
          <cell r="Q28" t="str">
            <v>Unit 5 - Health and Safety in Early Years Settings</v>
          </cell>
          <cell r="R28">
            <v>30</v>
          </cell>
          <cell r="S28" t="str">
            <v>Internal</v>
          </cell>
        </row>
        <row r="29">
          <cell r="Q29" t="str">
            <v>Unit 6 - Supporting Children’s Language and Literacy Development</v>
          </cell>
          <cell r="R29">
            <v>30</v>
          </cell>
          <cell r="S29" t="str">
            <v>Internal</v>
          </cell>
        </row>
        <row r="30">
          <cell r="Q30" t="str">
            <v>Unit 7 - Making Healthy Food Choices for Children</v>
          </cell>
          <cell r="R30">
            <v>30</v>
          </cell>
          <cell r="S30" t="str">
            <v>Internal</v>
          </cell>
        </row>
        <row r="31">
          <cell r="Q31" t="str">
            <v>Unit 8 - Introduction to Working in the Early Years Sector</v>
          </cell>
          <cell r="R31">
            <v>30</v>
          </cell>
          <cell r="S31" t="str">
            <v>Internal</v>
          </cell>
        </row>
        <row r="32">
          <cell r="Q32" t="str">
            <v>Unit 4 - Construction Processes and Operations</v>
          </cell>
          <cell r="R32">
            <v>30</v>
          </cell>
          <cell r="S32" t="str">
            <v>Internal</v>
          </cell>
        </row>
        <row r="33">
          <cell r="Q33" t="str">
            <v>Unit 5 -Construction Drawing Techniques</v>
          </cell>
          <cell r="R33">
            <v>30</v>
          </cell>
          <cell r="S33" t="str">
            <v>Internal</v>
          </cell>
        </row>
        <row r="34">
          <cell r="Q34" t="str">
            <v>Unit 6 - Exploring Carpentry and Joinery Principles and Techniques</v>
          </cell>
          <cell r="R34">
            <v>30</v>
          </cell>
          <cell r="S34" t="str">
            <v>Internal</v>
          </cell>
        </row>
        <row r="35">
          <cell r="Q35" t="str">
            <v>Unit 7 - Exploring Brickwork and Blockwork Principles and Techniques</v>
          </cell>
          <cell r="R35">
            <v>30</v>
          </cell>
          <cell r="S35" t="str">
            <v>Internal</v>
          </cell>
        </row>
        <row r="36">
          <cell r="Q36" t="str">
            <v>Unit 8 - Exploring Painting and Decorating Principles and Techniques</v>
          </cell>
          <cell r="R36">
            <v>30</v>
          </cell>
          <cell r="S36" t="str">
            <v>Internal</v>
          </cell>
        </row>
        <row r="37">
          <cell r="Q37" t="str">
            <v>Unit 9 - Exploring Plumbing Principles and Techniques</v>
          </cell>
          <cell r="R37">
            <v>30</v>
          </cell>
          <cell r="S37" t="str">
            <v>Internal</v>
          </cell>
        </row>
        <row r="38">
          <cell r="Q38" t="str">
            <v>Unit 10 - Exploring Electrical Principles and Techniques</v>
          </cell>
          <cell r="R38">
            <v>30</v>
          </cell>
          <cell r="S38" t="str">
            <v>Internal</v>
          </cell>
        </row>
        <row r="39">
          <cell r="Q39" t="str">
            <v>Unit 12 - The Construction Industry</v>
          </cell>
          <cell r="R39">
            <v>30</v>
          </cell>
          <cell r="S39" t="str">
            <v>Internal</v>
          </cell>
        </row>
        <row r="40">
          <cell r="Q40" t="str">
            <v>Unit 13 - Exploring Roofing Principles and Techniques</v>
          </cell>
          <cell r="R40">
            <v>30</v>
          </cell>
          <cell r="S40" t="str">
            <v>Internal</v>
          </cell>
        </row>
        <row r="41">
          <cell r="Q41" t="str">
            <v>Unit 14 - Exploring Wall and Floor Tiling Principles and Techniques</v>
          </cell>
          <cell r="R41">
            <v>30</v>
          </cell>
          <cell r="S41" t="str">
            <v>Internal</v>
          </cell>
        </row>
        <row r="42">
          <cell r="Q42" t="str">
            <v>Unit 15 - Exploring Plastering and Dry Lining Principles and Techniques</v>
          </cell>
          <cell r="R42">
            <v>30</v>
          </cell>
          <cell r="S42" t="str">
            <v>Internal</v>
          </cell>
        </row>
        <row r="43">
          <cell r="Q43" t="str">
            <v>Unit 3 - Digital Moving Image Production</v>
          </cell>
          <cell r="R43">
            <v>30</v>
          </cell>
          <cell r="S43" t="str">
            <v>Internal</v>
          </cell>
        </row>
        <row r="44">
          <cell r="Q44" t="str">
            <v>Unit 4 - Digital Audio Production</v>
          </cell>
          <cell r="R44">
            <v>30</v>
          </cell>
          <cell r="S44" t="str">
            <v>Internal</v>
          </cell>
        </row>
        <row r="45">
          <cell r="Q45" t="str">
            <v>Unit 5 - Digital Publishing Production</v>
          </cell>
          <cell r="R45">
            <v>30</v>
          </cell>
          <cell r="S45" t="str">
            <v>Internal</v>
          </cell>
        </row>
        <row r="46">
          <cell r="Q46" t="str">
            <v>Unit 6 - Website Production</v>
          </cell>
          <cell r="R46">
            <v>30</v>
          </cell>
          <cell r="S46" t="str">
            <v>Internal</v>
          </cell>
        </row>
        <row r="47">
          <cell r="Q47" t="str">
            <v>Unit 7 - Digital Games Production</v>
          </cell>
          <cell r="R47">
            <v>30</v>
          </cell>
          <cell r="S47" t="str">
            <v>Internal</v>
          </cell>
        </row>
        <row r="48">
          <cell r="Q48" t="str">
            <v>Unit 9 - Digital Editing for Moving Image</v>
          </cell>
          <cell r="R48">
            <v>60</v>
          </cell>
          <cell r="S48" t="str">
            <v>Internal</v>
          </cell>
        </row>
        <row r="49">
          <cell r="Q49" t="str">
            <v>Unit 10 - Digital Photography for a Media Product</v>
          </cell>
          <cell r="R49">
            <v>60</v>
          </cell>
          <cell r="S49" t="str">
            <v>Internal</v>
          </cell>
        </row>
        <row r="50">
          <cell r="Q50" t="str">
            <v>Unit 11 - Animation for Digital Media</v>
          </cell>
          <cell r="R50">
            <v>60</v>
          </cell>
          <cell r="S50" t="str">
            <v>Internal</v>
          </cell>
        </row>
        <row r="51">
          <cell r="Q51" t="str">
            <v>Unit 12 - Digital Audio Editing</v>
          </cell>
          <cell r="R51">
            <v>30</v>
          </cell>
          <cell r="S51" t="str">
            <v>Internal</v>
          </cell>
        </row>
        <row r="52">
          <cell r="Q52" t="str">
            <v>Unit 13 - Graphic Design for Digital Media</v>
          </cell>
          <cell r="R52">
            <v>30</v>
          </cell>
          <cell r="S52" t="str">
            <v>Internal</v>
          </cell>
        </row>
        <row r="53">
          <cell r="Q53" t="str">
            <v>Unit 14 - Writing for Digital Media</v>
          </cell>
          <cell r="R53">
            <v>30</v>
          </cell>
          <cell r="S53" t="str">
            <v>Internal</v>
          </cell>
        </row>
        <row r="54">
          <cell r="Q54" t="str">
            <v>Unit 15 - Digital Games Testing</v>
          </cell>
          <cell r="R54">
            <v>30</v>
          </cell>
          <cell r="S54" t="str">
            <v>Internal</v>
          </cell>
        </row>
        <row r="55">
          <cell r="Q55" t="str">
            <v>Unit 3 - Health and Safety in Engineering</v>
          </cell>
          <cell r="R55">
            <v>30</v>
          </cell>
          <cell r="S55" t="str">
            <v>Internal</v>
          </cell>
        </row>
        <row r="56">
          <cell r="Q56" t="str">
            <v>Unit 4 - Engineering Maintenance</v>
          </cell>
          <cell r="R56">
            <v>30</v>
          </cell>
          <cell r="S56" t="str">
            <v>Internal</v>
          </cell>
        </row>
        <row r="57">
          <cell r="Q57" t="str">
            <v>Unit 5 - Engineering Materials</v>
          </cell>
          <cell r="R57">
            <v>30</v>
          </cell>
          <cell r="S57" t="str">
            <v>Internal</v>
          </cell>
        </row>
        <row r="58">
          <cell r="Q58" t="str">
            <v>Unit 6 - Computer-aided Engineering</v>
          </cell>
          <cell r="R58">
            <v>30</v>
          </cell>
          <cell r="S58" t="str">
            <v>Internal</v>
          </cell>
        </row>
        <row r="59">
          <cell r="Q59" t="str">
            <v>Unit 7 - Machining Techniques</v>
          </cell>
          <cell r="R59">
            <v>30</v>
          </cell>
          <cell r="S59" t="str">
            <v>Internal</v>
          </cell>
        </row>
        <row r="60">
          <cell r="Q60" t="str">
            <v>Unit 8 - Electronic Circuit Design and Construction</v>
          </cell>
          <cell r="R60">
            <v>30</v>
          </cell>
          <cell r="S60" t="str">
            <v>Internal</v>
          </cell>
        </row>
        <row r="61">
          <cell r="Q61" t="str">
            <v>Unit 11 - Electrical and Mechanical Science for Engineering</v>
          </cell>
          <cell r="R61">
            <v>30</v>
          </cell>
          <cell r="S61" t="str">
            <v>Internal</v>
          </cell>
        </row>
        <row r="62">
          <cell r="Q62" t="str">
            <v>Unit 12 - Engineering Design</v>
          </cell>
          <cell r="R62">
            <v>60</v>
          </cell>
          <cell r="S62" t="str">
            <v>Internal</v>
          </cell>
        </row>
        <row r="63">
          <cell r="Q63" t="str">
            <v>Unit 13 - Engineering Assembly</v>
          </cell>
          <cell r="R63">
            <v>30</v>
          </cell>
          <cell r="S63" t="str">
            <v>Internal</v>
          </cell>
        </row>
        <row r="64">
          <cell r="Q64" t="str">
            <v>Unit 14 - Vehicle Engines and Other Systems</v>
          </cell>
          <cell r="R64">
            <v>30</v>
          </cell>
          <cell r="S64" t="str">
            <v>Internal</v>
          </cell>
        </row>
        <row r="65">
          <cell r="Q65" t="str">
            <v>Unit 4 - Social Influences on Health and Wellbeing</v>
          </cell>
          <cell r="R65">
            <v>30</v>
          </cell>
          <cell r="S65" t="str">
            <v>Internal</v>
          </cell>
        </row>
        <row r="66">
          <cell r="Q66" t="str">
            <v>Unit 5 - Promoting Health and Wellbeing</v>
          </cell>
          <cell r="R66">
            <v>30</v>
          </cell>
          <cell r="S66" t="str">
            <v>Internal</v>
          </cell>
        </row>
        <row r="67">
          <cell r="Q67" t="str">
            <v>Unit 6 - The Impact of Nutrition on Health and Wellbeing</v>
          </cell>
          <cell r="R67">
            <v>30</v>
          </cell>
          <cell r="S67" t="str">
            <v>Internal</v>
          </cell>
        </row>
        <row r="68">
          <cell r="Q68" t="str">
            <v>Unit 7 - Equality and Diversity in Health and Social Care</v>
          </cell>
          <cell r="R68">
            <v>30</v>
          </cell>
          <cell r="S68" t="str">
            <v>Internal</v>
          </cell>
        </row>
        <row r="69">
          <cell r="Q69" t="str">
            <v>Unit 8 - Individual Rights in Health and Social Care</v>
          </cell>
          <cell r="R69">
            <v>30</v>
          </cell>
          <cell r="S69" t="str">
            <v>Internal</v>
          </cell>
        </row>
        <row r="70">
          <cell r="Q70" t="str">
            <v>Unit 10 - Human Body Systems and Care of Disorders</v>
          </cell>
          <cell r="R70">
            <v>30</v>
          </cell>
          <cell r="S70" t="str">
            <v>Internal</v>
          </cell>
        </row>
        <row r="71">
          <cell r="Q71" t="str">
            <v>Unit 11 - Services in Health and Social Care</v>
          </cell>
          <cell r="R71">
            <v>30</v>
          </cell>
          <cell r="S71" t="str">
            <v>Internal</v>
          </cell>
        </row>
        <row r="72">
          <cell r="Q72" t="str">
            <v>Unit 12 - Creative and Therapeutic Activities in Health and Social Care</v>
          </cell>
          <cell r="R72">
            <v>30</v>
          </cell>
          <cell r="S72" t="str">
            <v>Internal</v>
          </cell>
        </row>
        <row r="73">
          <cell r="Q73" t="str">
            <v>Unit 4 - Costing and Controlling Finances in the Hospitality Industry</v>
          </cell>
          <cell r="R73">
            <v>30</v>
          </cell>
          <cell r="S73" t="str">
            <v>Internal</v>
          </cell>
        </row>
        <row r="74">
          <cell r="Q74" t="str">
            <v>Unit 5 - Enterprise in the Hospitality Industry</v>
          </cell>
          <cell r="R74">
            <v>30</v>
          </cell>
          <cell r="S74" t="str">
            <v>Internal</v>
          </cell>
        </row>
        <row r="75">
          <cell r="Q75" t="str">
            <v>Unit 6 - Planning, Preparing, Cooking and Finishing Food</v>
          </cell>
          <cell r="R75">
            <v>30</v>
          </cell>
          <cell r="S75" t="str">
            <v>Internal</v>
          </cell>
        </row>
        <row r="76">
          <cell r="Q76" t="str">
            <v>Unit 7 - Food and Beverage Service in the Hospitality Industry</v>
          </cell>
          <cell r="R76">
            <v>30</v>
          </cell>
          <cell r="S76" t="str">
            <v>Internal</v>
          </cell>
        </row>
        <row r="77">
          <cell r="Q77" t="str">
            <v>Unit 8 - Front Office Services in the Hospitality Industry</v>
          </cell>
          <cell r="R77">
            <v>30</v>
          </cell>
          <cell r="S77" t="str">
            <v>Internal</v>
          </cell>
        </row>
        <row r="78">
          <cell r="Q78" t="str">
            <v>Unit 10 - Marketing and Promotion in Hospitality</v>
          </cell>
          <cell r="R78">
            <v>30</v>
          </cell>
          <cell r="S78" t="str">
            <v>Internal</v>
          </cell>
        </row>
        <row r="79">
          <cell r="Q79" t="str">
            <v>Unit 11 - Accommodation Services in the Hospitality Industry</v>
          </cell>
          <cell r="R79">
            <v>30</v>
          </cell>
          <cell r="S79" t="str">
            <v>Internal</v>
          </cell>
        </row>
        <row r="80">
          <cell r="Q80" t="str">
            <v>Unit 12 - Planning and Running a Hospitality Event</v>
          </cell>
          <cell r="R80">
            <v>60</v>
          </cell>
          <cell r="S80" t="str">
            <v>Internal</v>
          </cell>
        </row>
        <row r="81">
          <cell r="Q81" t="str">
            <v>Unit 13 - Contemporary World Food Cooking Skills</v>
          </cell>
          <cell r="R81">
            <v>60</v>
          </cell>
          <cell r="S81" t="str">
            <v>Internal</v>
          </cell>
        </row>
        <row r="82">
          <cell r="Q82" t="str">
            <v>Unit 4 - Creating Digital Animation</v>
          </cell>
          <cell r="R82">
            <v>30</v>
          </cell>
          <cell r="S82" t="str">
            <v>Internal</v>
          </cell>
        </row>
        <row r="83">
          <cell r="Q83" t="str">
            <v>Unit 5 - Creating Digital Audio</v>
          </cell>
          <cell r="R83">
            <v>30</v>
          </cell>
          <cell r="S83" t="str">
            <v>Internal</v>
          </cell>
        </row>
        <row r="84">
          <cell r="Q84" t="str">
            <v>Unit 6 - Creating Digital Graphics</v>
          </cell>
          <cell r="R84">
            <v>30</v>
          </cell>
          <cell r="S84" t="str">
            <v>Internal</v>
          </cell>
        </row>
        <row r="85">
          <cell r="Q85" t="str">
            <v>Unit 7 - Creating Digital Video</v>
          </cell>
          <cell r="R85">
            <v>30</v>
          </cell>
          <cell r="S85" t="str">
            <v>Internal</v>
          </cell>
        </row>
        <row r="86">
          <cell r="Q86" t="str">
            <v>Unit 8 - Mobile Apps Development</v>
          </cell>
          <cell r="R86">
            <v>30</v>
          </cell>
          <cell r="S86" t="str">
            <v>Internal</v>
          </cell>
        </row>
        <row r="87">
          <cell r="Q87" t="str">
            <v>Unit 9 - Spreadsheet Development</v>
          </cell>
          <cell r="R87">
            <v>30</v>
          </cell>
          <cell r="S87" t="str">
            <v>Internal</v>
          </cell>
        </row>
        <row r="88">
          <cell r="Q88" t="str">
            <v>Unit 10 - Database Development</v>
          </cell>
          <cell r="R88">
            <v>60</v>
          </cell>
          <cell r="S88" t="str">
            <v>Internal</v>
          </cell>
        </row>
        <row r="89">
          <cell r="Q89" t="str">
            <v>Unit 11 - Computer Networks</v>
          </cell>
          <cell r="R89">
            <v>60</v>
          </cell>
          <cell r="S89" t="str">
            <v>Internal</v>
          </cell>
        </row>
        <row r="90">
          <cell r="Q90" t="str">
            <v>Unit 12 - Software Development</v>
          </cell>
          <cell r="R90">
            <v>60</v>
          </cell>
          <cell r="S90" t="str">
            <v>Internal</v>
          </cell>
        </row>
        <row r="91">
          <cell r="Q91" t="str">
            <v>Unit 13 - Website Development</v>
          </cell>
          <cell r="R91">
            <v>60</v>
          </cell>
          <cell r="S91" t="str">
            <v>Internal</v>
          </cell>
        </row>
        <row r="92">
          <cell r="Q92" t="str">
            <v>Unit 14 - Installing and Maintaining Computer Hardware</v>
          </cell>
          <cell r="R92">
            <v>60</v>
          </cell>
          <cell r="S92" t="str">
            <v>Internal</v>
          </cell>
        </row>
        <row r="93">
          <cell r="Q93" t="str">
            <v>Unit 15 - Installing and Maintaining Computer Software</v>
          </cell>
          <cell r="R93">
            <v>60</v>
          </cell>
          <cell r="S93" t="str">
            <v>Internal</v>
          </cell>
        </row>
        <row r="94">
          <cell r="Q94" t="str">
            <v>Unit 16 - Automated Computer Systems</v>
          </cell>
          <cell r="R94">
            <v>60</v>
          </cell>
          <cell r="S94" t="str">
            <v>Internal</v>
          </cell>
        </row>
        <row r="95">
          <cell r="Q95" t="str">
            <v>Unit 17 - Multimedia Products Development</v>
          </cell>
          <cell r="R95">
            <v>60</v>
          </cell>
          <cell r="S95" t="str">
            <v>Internal</v>
          </cell>
        </row>
        <row r="96">
          <cell r="Q96" t="str">
            <v>Unit 3 - Introducing Live Sound</v>
          </cell>
          <cell r="R96">
            <v>30</v>
          </cell>
          <cell r="S96" t="str">
            <v>Internal</v>
          </cell>
        </row>
        <row r="97">
          <cell r="Q97" t="str">
            <v>Unit 4 - Introducing Music Composition</v>
          </cell>
          <cell r="R97">
            <v>30</v>
          </cell>
          <cell r="S97" t="str">
            <v>Internal</v>
          </cell>
        </row>
        <row r="98">
          <cell r="Q98" t="str">
            <v>Unit 5 - Introducing Music Performance</v>
          </cell>
          <cell r="R98">
            <v>30</v>
          </cell>
          <cell r="S98" t="str">
            <v>Internal</v>
          </cell>
        </row>
        <row r="99">
          <cell r="Q99" t="str">
            <v>Unit 6 - Introducing Music Recording</v>
          </cell>
          <cell r="R99">
            <v>30</v>
          </cell>
          <cell r="S99" t="str">
            <v>Internal</v>
          </cell>
        </row>
        <row r="100">
          <cell r="Q100" t="str">
            <v>Unit 7 - Introducing Music Sequencing</v>
          </cell>
          <cell r="R100">
            <v>30</v>
          </cell>
          <cell r="S100" t="str">
            <v>Internal</v>
          </cell>
        </row>
        <row r="101">
          <cell r="Q101" t="str">
            <v>Unit 9 - Introducing Choral Studies</v>
          </cell>
          <cell r="R101">
            <v>30</v>
          </cell>
          <cell r="S101" t="str">
            <v>Internal</v>
          </cell>
        </row>
        <row r="102">
          <cell r="Q102" t="str">
            <v>Unit 10 - Introducing Music Theory</v>
          </cell>
          <cell r="R102">
            <v>30</v>
          </cell>
          <cell r="S102" t="str">
            <v>Internal</v>
          </cell>
        </row>
        <row r="103">
          <cell r="Q103" t="str">
            <v>Unit 11 - Developing Solo Music Performance</v>
          </cell>
          <cell r="R103">
            <v>60</v>
          </cell>
          <cell r="S103" t="str">
            <v>Internal</v>
          </cell>
        </row>
        <row r="104">
          <cell r="Q104" t="str">
            <v>Unit 12 - The Development of Music</v>
          </cell>
          <cell r="R104">
            <v>60</v>
          </cell>
          <cell r="S104" t="str">
            <v>Internal</v>
          </cell>
        </row>
        <row r="105">
          <cell r="Q105" t="str">
            <v>Unit 13 - Developing Music Composition</v>
          </cell>
          <cell r="R105">
            <v>60</v>
          </cell>
          <cell r="S105" t="str">
            <v>Internal</v>
          </cell>
        </row>
        <row r="106">
          <cell r="Q106" t="str">
            <v>Unit 14 - Producing a Music Recording</v>
          </cell>
          <cell r="R106">
            <v>60</v>
          </cell>
          <cell r="S106" t="str">
            <v>Internal</v>
          </cell>
        </row>
        <row r="107">
          <cell r="Q107" t="str">
            <v>Unit 15 - Music Ensemble</v>
          </cell>
          <cell r="R107">
            <v>60</v>
          </cell>
          <cell r="S107" t="str">
            <v>Internal</v>
          </cell>
        </row>
        <row r="108">
          <cell r="Q108" t="str">
            <v>Unit 3 - Acting Skills</v>
          </cell>
          <cell r="R108">
            <v>30</v>
          </cell>
          <cell r="S108" t="str">
            <v>Internal</v>
          </cell>
        </row>
        <row r="109">
          <cell r="Q109" t="str">
            <v>Unit 4 - Dance Skills</v>
          </cell>
          <cell r="R109">
            <v>30</v>
          </cell>
          <cell r="S109" t="str">
            <v>Internal</v>
          </cell>
        </row>
        <row r="110">
          <cell r="Q110" t="str">
            <v>Unit 5 - Musical Theatre Skills</v>
          </cell>
          <cell r="R110">
            <v>30</v>
          </cell>
          <cell r="S110" t="str">
            <v>Internal</v>
          </cell>
        </row>
        <row r="111">
          <cell r="Q111" t="str">
            <v>Unit 6 - Music Performance Skills</v>
          </cell>
          <cell r="R111">
            <v>30</v>
          </cell>
          <cell r="S111" t="str">
            <v>Internal</v>
          </cell>
        </row>
        <row r="112">
          <cell r="Q112" t="str">
            <v>Unit 7 - Production Skills for Performance</v>
          </cell>
          <cell r="R112">
            <v>30</v>
          </cell>
          <cell r="S112" t="str">
            <v>Internal</v>
          </cell>
        </row>
        <row r="113">
          <cell r="Q113" t="str">
            <v>Unit 9 - Performance in Context</v>
          </cell>
          <cell r="R113">
            <v>30</v>
          </cell>
          <cell r="S113" t="str">
            <v>Internal</v>
          </cell>
        </row>
        <row r="114">
          <cell r="Q114" t="str">
            <v>Unit 10 - Movement Skills</v>
          </cell>
          <cell r="R114">
            <v>30</v>
          </cell>
          <cell r="S114" t="str">
            <v>Internal</v>
          </cell>
        </row>
        <row r="115">
          <cell r="Q115" t="str">
            <v>Unit 11 - Devising Performance Work</v>
          </cell>
          <cell r="R115">
            <v>30</v>
          </cell>
          <cell r="S115" t="str">
            <v>Internal</v>
          </cell>
        </row>
        <row r="116">
          <cell r="Q116" t="str">
            <v>Unit 12 - Exploring Improvisation</v>
          </cell>
          <cell r="R116">
            <v>30</v>
          </cell>
          <cell r="S116" t="str">
            <v>Internal</v>
          </cell>
        </row>
        <row r="117">
          <cell r="Q117" t="str">
            <v>Unit 13 - Multimedia Performance</v>
          </cell>
          <cell r="R117">
            <v>30</v>
          </cell>
          <cell r="S117" t="str">
            <v>Internal</v>
          </cell>
        </row>
        <row r="118">
          <cell r="Q118" t="str">
            <v>Unit 14 - Voice and Speech for Performers</v>
          </cell>
          <cell r="R118">
            <v>30</v>
          </cell>
          <cell r="S118" t="str">
            <v>Internal</v>
          </cell>
        </row>
        <row r="119">
          <cell r="Q119" t="str">
            <v>Unit 15 - Performing Scripted Plays</v>
          </cell>
          <cell r="R119">
            <v>30</v>
          </cell>
          <cell r="S119" t="str">
            <v>Internal</v>
          </cell>
        </row>
        <row r="120">
          <cell r="Q120" t="str">
            <v>Unit 16 - Contemporary Dance Techniques</v>
          </cell>
          <cell r="R120">
            <v>30</v>
          </cell>
          <cell r="S120" t="str">
            <v>Internal</v>
          </cell>
        </row>
        <row r="121">
          <cell r="Q121" t="str">
            <v>Unit 17 - Exploring Urban Dance Styles</v>
          </cell>
          <cell r="R121">
            <v>30</v>
          </cell>
          <cell r="S121" t="str">
            <v>Internal</v>
          </cell>
        </row>
        <row r="122">
          <cell r="Q122" t="str">
            <v>Unit 18 - Jazz Dance Techniques</v>
          </cell>
          <cell r="R122">
            <v>30</v>
          </cell>
          <cell r="S122" t="str">
            <v>Internal</v>
          </cell>
        </row>
        <row r="123">
          <cell r="Q123" t="str">
            <v>Unit 19 - Design Planning for Performance</v>
          </cell>
          <cell r="R123">
            <v>30</v>
          </cell>
          <cell r="S123" t="str">
            <v>Internal</v>
          </cell>
        </row>
        <row r="124">
          <cell r="Q124" t="str">
            <v>Unit 20 - Realising Costume Design for Performance</v>
          </cell>
          <cell r="R124">
            <v>30</v>
          </cell>
          <cell r="S124" t="str">
            <v>Internal</v>
          </cell>
        </row>
        <row r="125">
          <cell r="Q125" t="str">
            <v>Unit 21 - Realising Set Design for Performance</v>
          </cell>
          <cell r="R125">
            <v>30</v>
          </cell>
          <cell r="S125" t="str">
            <v>Internal</v>
          </cell>
        </row>
        <row r="126">
          <cell r="Q126" t="str">
            <v>Unit 22 - Realising Prop Design for Performance</v>
          </cell>
          <cell r="R126">
            <v>30</v>
          </cell>
          <cell r="S126" t="str">
            <v>Internal</v>
          </cell>
        </row>
        <row r="127">
          <cell r="Q127" t="str">
            <v>Unit 23 - Realising Mask Design for Performance</v>
          </cell>
          <cell r="R127">
            <v>30</v>
          </cell>
          <cell r="S127" t="str">
            <v>Internal</v>
          </cell>
        </row>
        <row r="128">
          <cell r="Q128" t="str">
            <v>Unit 24 - Lighting for Performance</v>
          </cell>
          <cell r="R128">
            <v>30</v>
          </cell>
          <cell r="S128" t="str">
            <v>Internal</v>
          </cell>
        </row>
        <row r="129">
          <cell r="Q129" t="str">
            <v>Unit 25 - Sound for Performance</v>
          </cell>
          <cell r="R129">
            <v>30</v>
          </cell>
          <cell r="S129" t="str">
            <v>Internal</v>
          </cell>
        </row>
        <row r="130">
          <cell r="Q130" t="str">
            <v>Unit 26 - Supporting Performance: Stage Management</v>
          </cell>
          <cell r="R130">
            <v>30</v>
          </cell>
          <cell r="S130" t="str">
            <v>Internal</v>
          </cell>
        </row>
        <row r="131">
          <cell r="Q131" t="str">
            <v>Unit 27 - Supporting Performance: Front of House</v>
          </cell>
          <cell r="R131">
            <v>30</v>
          </cell>
          <cell r="S131" t="str">
            <v>Internal</v>
          </cell>
        </row>
        <row r="132">
          <cell r="Q132" t="str">
            <v>Unit 28 - Make-up for Performance</v>
          </cell>
          <cell r="R132">
            <v>30</v>
          </cell>
          <cell r="S132" t="str">
            <v>Internal</v>
          </cell>
        </row>
        <row r="133">
          <cell r="Q133" t="str">
            <v>Unit 29 - Wardrobe for Stage Performance</v>
          </cell>
          <cell r="R133">
            <v>30</v>
          </cell>
          <cell r="S133" t="str">
            <v>Internal</v>
          </cell>
        </row>
        <row r="134">
          <cell r="Q134" t="str">
            <v>Unit 3 - The Mind and Sports Performance</v>
          </cell>
          <cell r="R134">
            <v>30</v>
          </cell>
          <cell r="S134" t="str">
            <v>Internal</v>
          </cell>
        </row>
        <row r="135">
          <cell r="Q135" t="str">
            <v>Unit 4 - The Sports Performer in Action</v>
          </cell>
          <cell r="R135">
            <v>30</v>
          </cell>
          <cell r="S135" t="str">
            <v>Internal</v>
          </cell>
        </row>
        <row r="136">
          <cell r="Q136" t="str">
            <v>Unit 5 - Training for Personal Fitness</v>
          </cell>
          <cell r="R136">
            <v>30</v>
          </cell>
          <cell r="S136" t="str">
            <v>Internal</v>
          </cell>
        </row>
        <row r="137">
          <cell r="Q137" t="str">
            <v>Unit 6 - Leading Sports Activities</v>
          </cell>
          <cell r="R137">
            <v>30</v>
          </cell>
          <cell r="S137" t="str">
            <v>Internal</v>
          </cell>
        </row>
        <row r="138">
          <cell r="Q138" t="str">
            <v>Unit 8 - Promotion and Sponsorship in Sport</v>
          </cell>
          <cell r="R138">
            <v>30</v>
          </cell>
          <cell r="S138" t="str">
            <v>Internal</v>
          </cell>
        </row>
        <row r="139">
          <cell r="Q139" t="str">
            <v>Unit 9 - Lifestyle and Well-being</v>
          </cell>
          <cell r="R139">
            <v>30</v>
          </cell>
          <cell r="S139" t="str">
            <v>Internal</v>
          </cell>
        </row>
        <row r="140">
          <cell r="Q140" t="str">
            <v>Unit 10 - Injury and the Sports Performer</v>
          </cell>
          <cell r="R140">
            <v>30</v>
          </cell>
          <cell r="S140" t="str">
            <v>Internal</v>
          </cell>
        </row>
        <row r="141">
          <cell r="Q141" t="str">
            <v>Unit 11 - Running a Sports Event</v>
          </cell>
          <cell r="R141">
            <v>30</v>
          </cell>
          <cell r="S141" t="str">
            <v>Internal</v>
          </cell>
        </row>
        <row r="142">
          <cell r="Q142" t="str">
            <v>Unit 12 - The Sport and Active Leisure Industry</v>
          </cell>
          <cell r="R142">
            <v>30</v>
          </cell>
          <cell r="S142" t="str">
            <v>Internal</v>
          </cell>
        </row>
        <row r="143">
          <cell r="Q143" t="str">
            <v>Unit 3 - The Development of Travel and Tourism in the UK</v>
          </cell>
          <cell r="R143">
            <v>30</v>
          </cell>
          <cell r="S143" t="str">
            <v>Internal</v>
          </cell>
        </row>
        <row r="144">
          <cell r="Q144" t="str">
            <v>Unit 5 - Factors Affecting Worldwide Travel and Tourism</v>
          </cell>
          <cell r="R144">
            <v>30</v>
          </cell>
          <cell r="S144" t="str">
            <v>Internal</v>
          </cell>
        </row>
        <row r="145">
          <cell r="Q145" t="str">
            <v>Unit 6 -The Travel and Tourism Customer Experience</v>
          </cell>
          <cell r="R145">
            <v>30</v>
          </cell>
          <cell r="S145" t="str">
            <v>Internal</v>
          </cell>
        </row>
        <row r="146">
          <cell r="Q146" t="str">
            <v>Unit 8 - Promotion and Sales in Travel and Tourism</v>
          </cell>
          <cell r="R146">
            <v>30</v>
          </cell>
          <cell r="S146" t="str">
            <v>Internal</v>
          </cell>
        </row>
        <row r="147">
          <cell r="Q147" t="str">
            <v>Unit 9 - Travel and Tourism Employment Opportunities</v>
          </cell>
          <cell r="R147">
            <v>30</v>
          </cell>
          <cell r="S147" t="str">
            <v>Internal</v>
          </cell>
        </row>
        <row r="148">
          <cell r="Q148" t="str">
            <v>Unit 10 - Organising a Travel and Tourism Study Visit</v>
          </cell>
          <cell r="R148">
            <v>30</v>
          </cell>
          <cell r="S148" t="str">
            <v>Internal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Q44"/>
  <sheetViews>
    <sheetView showGridLines="0" showRowColHeaders="0" workbookViewId="0">
      <selection activeCell="Q18" sqref="Q18"/>
    </sheetView>
  </sheetViews>
  <sheetFormatPr baseColWidth="10" defaultColWidth="0" defaultRowHeight="15" customHeight="1" zeroHeight="1" x14ac:dyDescent="0"/>
  <cols>
    <col min="1" max="2" width="1.1640625" style="3" customWidth="1"/>
    <col min="3" max="3" width="0.6640625" style="3" customWidth="1"/>
    <col min="4" max="4" width="1.5" style="3" hidden="1" customWidth="1"/>
    <col min="5" max="5" width="3.5" style="3" hidden="1" customWidth="1"/>
    <col min="6" max="6" width="0.83203125" style="3" customWidth="1"/>
    <col min="7" max="7" width="11.1640625" style="3" customWidth="1"/>
    <col min="8" max="8" width="54.33203125" style="3" customWidth="1"/>
    <col min="9" max="9" width="5.1640625" style="3" customWidth="1"/>
    <col min="10" max="10" width="54.33203125" style="3" customWidth="1"/>
    <col min="11" max="11" width="3.83203125" style="3" customWidth="1"/>
    <col min="12" max="12" width="2.83203125" style="3" customWidth="1"/>
    <col min="13" max="13" width="3.83203125" style="3" customWidth="1"/>
    <col min="14" max="14" width="16.83203125" style="3" hidden="1" customWidth="1"/>
    <col min="15" max="15" width="15.5" style="3" hidden="1" customWidth="1"/>
    <col min="16" max="16" width="5.6640625" style="3" customWidth="1"/>
    <col min="17" max="17" width="3.5" style="3" customWidth="1"/>
    <col min="18" max="18" width="2.6640625" style="3" hidden="1" customWidth="1"/>
    <col min="19" max="19" width="9.1640625" style="3" hidden="1" customWidth="1"/>
    <col min="20" max="20" width="10.33203125" style="3" hidden="1" customWidth="1"/>
    <col min="21" max="21" width="12.33203125" style="3" hidden="1" customWidth="1"/>
    <col min="22" max="22" width="9.1640625" style="3" hidden="1" customWidth="1"/>
    <col min="23" max="23" width="9.5" style="3" hidden="1" customWidth="1"/>
    <col min="24" max="24" width="16" style="3" hidden="1" customWidth="1"/>
    <col min="25" max="25" width="8.83203125" style="3" hidden="1" customWidth="1"/>
    <col min="26" max="26" width="0" style="3" hidden="1" customWidth="1"/>
    <col min="27" max="27" width="11.83203125" style="3" hidden="1" customWidth="1"/>
    <col min="28" max="28" width="11.5" style="3" hidden="1" customWidth="1"/>
    <col min="29" max="29" width="6.5" style="3" hidden="1" customWidth="1"/>
    <col min="30" max="30" width="9.1640625" style="3" hidden="1" customWidth="1"/>
    <col min="31" max="31" width="9.6640625" style="3" hidden="1" customWidth="1"/>
    <col min="32" max="32" width="8.83203125" style="3" hidden="1" customWidth="1"/>
    <col min="33" max="35" width="0" style="3" hidden="1" customWidth="1"/>
    <col min="36" max="39" width="9.1640625" style="3" hidden="1" customWidth="1"/>
    <col min="40" max="40" width="10" style="3" hidden="1" customWidth="1"/>
    <col min="41" max="41" width="0" style="3" hidden="1" customWidth="1"/>
    <col min="42" max="43" width="9.1640625" style="3" hidden="1" customWidth="1"/>
    <col min="44" max="16384" width="0" style="3" hidden="1"/>
  </cols>
  <sheetData>
    <row r="1" spans="1:43" ht="16.5" customHeight="1">
      <c r="A1" s="3" t="s">
        <v>353</v>
      </c>
    </row>
    <row r="2" spans="1:43" ht="19.5" customHeight="1">
      <c r="C2" s="3" t="s">
        <v>353</v>
      </c>
      <c r="G2" s="3" t="s">
        <v>353</v>
      </c>
    </row>
    <row r="3" spans="1:43" ht="15" customHeight="1">
      <c r="F3" s="4"/>
      <c r="G3" s="4"/>
      <c r="H3" s="4"/>
      <c r="I3" s="4"/>
      <c r="J3" s="4"/>
      <c r="K3" s="4"/>
      <c r="L3" s="4"/>
      <c r="M3" s="4"/>
    </row>
    <row r="4" spans="1:43" ht="15" customHeight="1">
      <c r="F4" s="4"/>
      <c r="G4" s="4"/>
      <c r="H4" s="4"/>
      <c r="I4" s="4"/>
      <c r="J4" s="4"/>
      <c r="K4" s="4"/>
      <c r="L4" s="4"/>
      <c r="M4" s="4"/>
    </row>
    <row r="5" spans="1:43" ht="15" customHeight="1">
      <c r="F5" s="4"/>
      <c r="G5" s="39"/>
      <c r="H5" s="67"/>
      <c r="I5" s="4"/>
      <c r="J5" s="4"/>
      <c r="K5" s="4"/>
      <c r="L5" s="4"/>
      <c r="M5" s="4"/>
      <c r="R5" s="4"/>
      <c r="AG5" s="4"/>
      <c r="AH5" s="4"/>
      <c r="AI5" s="4"/>
      <c r="AJ5" s="4"/>
      <c r="AK5" s="4"/>
      <c r="AL5" s="4"/>
      <c r="AM5" s="4"/>
      <c r="AN5" s="4"/>
      <c r="AO5" s="4"/>
    </row>
    <row r="6" spans="1:43" ht="14">
      <c r="F6" s="4"/>
      <c r="G6" s="4"/>
      <c r="H6" s="4"/>
      <c r="I6" s="4"/>
      <c r="J6" s="4"/>
      <c r="K6" s="4"/>
      <c r="L6" s="4"/>
      <c r="M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G6" s="4"/>
      <c r="AH6" s="4"/>
      <c r="AI6" s="4"/>
      <c r="AJ6" s="4"/>
      <c r="AK6" s="4"/>
      <c r="AL6" s="4"/>
      <c r="AM6" s="4"/>
      <c r="AN6" s="4"/>
      <c r="AO6" s="4"/>
    </row>
    <row r="7" spans="1:43" ht="14">
      <c r="B7" s="5"/>
      <c r="C7" s="5"/>
      <c r="D7" s="4"/>
      <c r="F7" s="4"/>
      <c r="G7" s="4"/>
      <c r="H7" s="4"/>
      <c r="I7" s="142"/>
      <c r="J7" s="142"/>
      <c r="K7" s="4"/>
      <c r="L7" s="4"/>
      <c r="M7" s="4"/>
      <c r="Q7" s="4"/>
      <c r="R7" s="4"/>
      <c r="S7" s="7"/>
      <c r="T7" s="7"/>
      <c r="U7" s="4"/>
      <c r="V7" s="4"/>
      <c r="W7" s="4"/>
      <c r="X7" s="4"/>
      <c r="Y7" s="4"/>
      <c r="Z7" s="4"/>
      <c r="AA7" s="6"/>
      <c r="AB7" s="6"/>
      <c r="AC7" s="4"/>
      <c r="AD7" s="4"/>
      <c r="AE7" s="4"/>
      <c r="AF7" s="4"/>
      <c r="AG7" s="4"/>
      <c r="AH7" s="4"/>
      <c r="AI7" s="7"/>
      <c r="AJ7" s="7"/>
      <c r="AK7" s="4"/>
      <c r="AL7" s="4"/>
      <c r="AM7" s="4"/>
      <c r="AN7" s="4"/>
      <c r="AO7" s="4"/>
    </row>
    <row r="8" spans="1:43" ht="14.25" customHeight="1">
      <c r="B8" s="4"/>
      <c r="C8" s="5"/>
      <c r="D8" s="4"/>
      <c r="F8" s="4"/>
      <c r="G8" s="143" t="s">
        <v>480</v>
      </c>
      <c r="H8" s="144"/>
      <c r="I8" s="144"/>
      <c r="J8" s="144"/>
      <c r="K8" s="144"/>
      <c r="L8" s="144"/>
      <c r="M8" s="144"/>
      <c r="N8" s="144"/>
      <c r="O8" s="144"/>
      <c r="P8" s="145"/>
      <c r="Q8" s="5"/>
      <c r="R8" s="4"/>
      <c r="S8" s="5"/>
      <c r="T8" s="5"/>
      <c r="U8" s="4"/>
      <c r="V8" s="5"/>
      <c r="W8" s="4"/>
      <c r="X8" s="4"/>
      <c r="Y8" s="4"/>
      <c r="Z8" s="5"/>
      <c r="AA8" s="5"/>
      <c r="AB8" s="5"/>
      <c r="AC8" s="4"/>
      <c r="AD8" s="5"/>
      <c r="AE8" s="5"/>
      <c r="AF8" s="5"/>
      <c r="AG8" s="4"/>
      <c r="AH8" s="5"/>
      <c r="AI8" s="5"/>
      <c r="AJ8" s="5"/>
      <c r="AK8" s="4"/>
      <c r="AL8" s="5"/>
      <c r="AM8" s="4"/>
      <c r="AN8" s="4"/>
      <c r="AO8" s="4"/>
      <c r="AQ8" s="3">
        <v>30</v>
      </c>
    </row>
    <row r="9" spans="1:43" ht="15.75" customHeight="1">
      <c r="B9" s="4"/>
      <c r="C9" s="5"/>
      <c r="D9" s="4"/>
      <c r="F9" s="5"/>
      <c r="G9" s="146"/>
      <c r="H9" s="147"/>
      <c r="I9" s="147"/>
      <c r="J9" s="147"/>
      <c r="K9" s="147"/>
      <c r="L9" s="147"/>
      <c r="M9" s="147"/>
      <c r="N9" s="147"/>
      <c r="O9" s="147"/>
      <c r="P9" s="148"/>
      <c r="Q9" s="5"/>
      <c r="R9" s="4"/>
      <c r="S9" s="4"/>
      <c r="T9" s="4"/>
      <c r="U9" s="4"/>
      <c r="V9" s="4"/>
      <c r="W9" s="4"/>
      <c r="X9" s="4"/>
      <c r="Y9" s="4"/>
      <c r="Z9" s="5"/>
      <c r="AA9" s="4"/>
      <c r="AB9" s="4"/>
      <c r="AC9" s="4"/>
      <c r="AD9" s="4"/>
      <c r="AE9" s="4"/>
      <c r="AF9" s="4"/>
      <c r="AG9" s="4"/>
      <c r="AH9" s="5"/>
      <c r="AI9" s="4"/>
      <c r="AJ9" s="4"/>
      <c r="AK9" s="4"/>
      <c r="AL9" s="4"/>
      <c r="AM9" s="4"/>
      <c r="AN9" s="4"/>
      <c r="AO9" s="4"/>
      <c r="AQ9" s="3">
        <v>60</v>
      </c>
    </row>
    <row r="10" spans="1:43" ht="15.75" customHeight="1">
      <c r="B10" s="4"/>
      <c r="C10" s="5"/>
      <c r="D10" s="4"/>
      <c r="F10" s="5"/>
      <c r="G10" s="146"/>
      <c r="H10" s="147"/>
      <c r="I10" s="147"/>
      <c r="J10" s="147"/>
      <c r="K10" s="147"/>
      <c r="L10" s="147"/>
      <c r="M10" s="147"/>
      <c r="N10" s="147"/>
      <c r="O10" s="147"/>
      <c r="P10" s="148"/>
      <c r="Q10" s="5"/>
      <c r="R10" s="4"/>
      <c r="S10" s="4"/>
      <c r="T10" s="4"/>
      <c r="U10" s="4"/>
      <c r="V10" s="4"/>
      <c r="W10" s="4"/>
      <c r="X10" s="4"/>
      <c r="Y10" s="4"/>
      <c r="Z10" s="5"/>
      <c r="AA10" s="4"/>
      <c r="AB10" s="4"/>
      <c r="AC10" s="4"/>
      <c r="AD10" s="4"/>
      <c r="AE10" s="4"/>
      <c r="AF10" s="4"/>
      <c r="AG10" s="4"/>
      <c r="AH10" s="5"/>
      <c r="AI10" s="4"/>
      <c r="AJ10" s="4"/>
      <c r="AK10" s="4"/>
      <c r="AL10" s="4"/>
      <c r="AM10" s="4"/>
      <c r="AN10" s="4"/>
      <c r="AO10" s="4"/>
    </row>
    <row r="11" spans="1:43" ht="15.75" customHeight="1">
      <c r="B11" s="4"/>
      <c r="C11" s="5"/>
      <c r="D11" s="4"/>
      <c r="F11" s="5"/>
      <c r="G11" s="146"/>
      <c r="H11" s="147"/>
      <c r="I11" s="147"/>
      <c r="J11" s="147"/>
      <c r="K11" s="147"/>
      <c r="L11" s="147"/>
      <c r="M11" s="147"/>
      <c r="N11" s="147"/>
      <c r="O11" s="147"/>
      <c r="P11" s="148"/>
      <c r="Q11" s="5"/>
      <c r="R11" s="4"/>
      <c r="S11" s="4"/>
      <c r="T11" s="4"/>
      <c r="U11" s="4"/>
      <c r="V11" s="4"/>
      <c r="W11" s="4"/>
      <c r="X11" s="4"/>
      <c r="Y11" s="4"/>
      <c r="Z11" s="5"/>
      <c r="AA11" s="4"/>
      <c r="AB11" s="4"/>
      <c r="AC11" s="4"/>
      <c r="AD11" s="4"/>
      <c r="AE11" s="4"/>
      <c r="AF11" s="4"/>
      <c r="AG11" s="4"/>
      <c r="AH11" s="5"/>
      <c r="AI11" s="4"/>
      <c r="AJ11" s="4"/>
      <c r="AK11" s="4"/>
      <c r="AL11" s="4"/>
      <c r="AM11" s="4"/>
      <c r="AN11" s="4"/>
      <c r="AO11" s="4"/>
    </row>
    <row r="12" spans="1:43" ht="15.75" customHeight="1">
      <c r="F12" s="5"/>
      <c r="G12" s="146"/>
      <c r="H12" s="147"/>
      <c r="I12" s="147"/>
      <c r="J12" s="147"/>
      <c r="K12" s="147"/>
      <c r="L12" s="147"/>
      <c r="M12" s="147"/>
      <c r="N12" s="147"/>
      <c r="O12" s="147"/>
      <c r="P12" s="148"/>
      <c r="Q12" s="5"/>
      <c r="R12" s="4"/>
      <c r="S12" s="4"/>
      <c r="T12" s="4"/>
      <c r="U12" s="4"/>
      <c r="V12" s="4"/>
      <c r="W12" s="4"/>
      <c r="X12" s="4"/>
      <c r="Y12" s="4"/>
      <c r="Z12" s="5"/>
      <c r="AA12" s="4"/>
      <c r="AB12" s="4"/>
      <c r="AC12" s="4"/>
      <c r="AD12" s="4"/>
      <c r="AE12" s="4"/>
      <c r="AF12" s="4"/>
      <c r="AG12" s="4"/>
      <c r="AH12" s="5"/>
      <c r="AI12" s="4"/>
      <c r="AJ12" s="4"/>
      <c r="AK12" s="4"/>
      <c r="AL12" s="4"/>
      <c r="AM12" s="4"/>
      <c r="AN12" s="4"/>
      <c r="AO12" s="4"/>
    </row>
    <row r="13" spans="1:43" ht="14">
      <c r="F13" s="4"/>
      <c r="G13" s="146"/>
      <c r="H13" s="147"/>
      <c r="I13" s="147"/>
      <c r="J13" s="147"/>
      <c r="K13" s="147"/>
      <c r="L13" s="147"/>
      <c r="M13" s="147"/>
      <c r="N13" s="147"/>
      <c r="O13" s="147"/>
      <c r="P13" s="148"/>
      <c r="Q13" s="5"/>
      <c r="R13" s="4"/>
      <c r="S13" s="4"/>
      <c r="T13" s="4"/>
      <c r="U13" s="4"/>
      <c r="V13" s="4"/>
      <c r="W13" s="4"/>
      <c r="X13" s="4"/>
      <c r="Y13" s="4"/>
      <c r="Z13" s="5"/>
      <c r="AA13" s="4"/>
      <c r="AB13" s="4"/>
      <c r="AC13" s="4"/>
      <c r="AD13" s="4"/>
      <c r="AE13" s="4"/>
      <c r="AF13" s="4"/>
      <c r="AG13" s="4"/>
      <c r="AH13" s="5"/>
      <c r="AI13" s="4"/>
      <c r="AJ13" s="4"/>
      <c r="AK13" s="4"/>
      <c r="AL13" s="4"/>
      <c r="AM13" s="4"/>
      <c r="AN13" s="4"/>
      <c r="AO13" s="4"/>
    </row>
    <row r="14" spans="1:43" ht="14">
      <c r="F14" s="4"/>
      <c r="G14" s="146"/>
      <c r="H14" s="147"/>
      <c r="I14" s="147"/>
      <c r="J14" s="147"/>
      <c r="K14" s="147"/>
      <c r="L14" s="147"/>
      <c r="M14" s="147"/>
      <c r="N14" s="147"/>
      <c r="O14" s="147"/>
      <c r="P14" s="148"/>
      <c r="Q14" s="26"/>
      <c r="R14" s="4"/>
      <c r="S14" s="4"/>
      <c r="T14" s="4"/>
      <c r="U14" s="4"/>
      <c r="V14" s="4"/>
      <c r="W14" s="4"/>
      <c r="X14" s="4"/>
      <c r="Y14" s="4"/>
      <c r="Z14" s="5"/>
      <c r="AA14" s="4"/>
      <c r="AB14" s="4"/>
      <c r="AC14" s="4"/>
      <c r="AD14" s="4"/>
      <c r="AE14" s="4"/>
      <c r="AF14" s="4"/>
      <c r="AG14" s="4"/>
      <c r="AH14" s="5"/>
      <c r="AI14" s="4"/>
      <c r="AJ14" s="4"/>
      <c r="AK14" s="4"/>
      <c r="AL14" s="4"/>
      <c r="AM14" s="4"/>
      <c r="AN14" s="4"/>
      <c r="AO14" s="4"/>
    </row>
    <row r="15" spans="1:43" ht="14">
      <c r="F15" s="4"/>
      <c r="G15" s="149"/>
      <c r="H15" s="150"/>
      <c r="I15" s="150"/>
      <c r="J15" s="150"/>
      <c r="K15" s="150"/>
      <c r="L15" s="150"/>
      <c r="M15" s="150"/>
      <c r="N15" s="150"/>
      <c r="O15" s="150"/>
      <c r="P15" s="151"/>
      <c r="Q15" s="5"/>
      <c r="R15" s="4"/>
      <c r="S15" s="4"/>
      <c r="T15" s="4"/>
      <c r="U15" s="4"/>
      <c r="V15" s="4"/>
      <c r="W15" s="4"/>
      <c r="X15" s="4"/>
      <c r="Y15" s="4"/>
      <c r="Z15" s="5"/>
      <c r="AA15" s="4"/>
      <c r="AB15" s="4"/>
      <c r="AC15" s="4"/>
      <c r="AD15" s="4"/>
      <c r="AE15" s="4"/>
      <c r="AF15" s="4"/>
      <c r="AG15" s="4"/>
      <c r="AH15" s="5"/>
      <c r="AI15" s="4"/>
      <c r="AJ15" s="4"/>
      <c r="AK15" s="4"/>
      <c r="AL15" s="4"/>
      <c r="AM15" s="4"/>
      <c r="AN15" s="4"/>
      <c r="AO15" s="4"/>
    </row>
    <row r="16" spans="1:43" ht="30" customHeight="1">
      <c r="F16" s="4"/>
      <c r="G16" s="4"/>
      <c r="H16" s="4"/>
      <c r="I16" s="26"/>
      <c r="J16" s="68"/>
      <c r="K16" s="4"/>
      <c r="L16" s="4"/>
      <c r="M16" s="4"/>
      <c r="P16" s="4"/>
      <c r="Q16" s="5"/>
      <c r="R16" s="4"/>
      <c r="S16" s="4"/>
      <c r="T16" s="4"/>
      <c r="U16" s="4"/>
      <c r="V16" s="4"/>
      <c r="W16" s="4"/>
      <c r="X16" s="4"/>
      <c r="Y16" s="4"/>
      <c r="Z16" s="5"/>
      <c r="AA16" s="4"/>
      <c r="AB16" s="4"/>
      <c r="AC16" s="4"/>
      <c r="AD16" s="4"/>
      <c r="AE16" s="4"/>
      <c r="AF16" s="4"/>
      <c r="AG16" s="4"/>
      <c r="AH16" s="5"/>
      <c r="AI16" s="4"/>
      <c r="AJ16" s="4"/>
      <c r="AK16" s="4"/>
      <c r="AL16" s="4"/>
      <c r="AM16" s="4"/>
      <c r="AN16" s="4"/>
      <c r="AO16" s="4"/>
    </row>
    <row r="17" spans="7:41" ht="14">
      <c r="Q17" s="4"/>
      <c r="R17" s="4"/>
      <c r="S17" s="4"/>
      <c r="T17" s="4"/>
      <c r="U17" s="4"/>
      <c r="V17" s="4"/>
      <c r="W17" s="4"/>
      <c r="X17" s="4"/>
      <c r="Y17" s="4"/>
      <c r="Z17" s="5"/>
      <c r="AA17" s="4"/>
      <c r="AB17" s="4"/>
      <c r="AC17" s="4"/>
      <c r="AD17" s="4"/>
      <c r="AE17" s="4"/>
      <c r="AF17" s="4"/>
      <c r="AG17" s="4"/>
      <c r="AH17" s="5"/>
      <c r="AI17" s="4"/>
      <c r="AJ17" s="4"/>
      <c r="AK17" s="4"/>
      <c r="AL17" s="4"/>
      <c r="AM17" s="4"/>
      <c r="AN17" s="4"/>
      <c r="AO17" s="4"/>
    </row>
    <row r="18" spans="7:41" ht="14">
      <c r="H18" s="152"/>
      <c r="I18" s="71"/>
      <c r="J18" s="153"/>
      <c r="Q18" s="5"/>
      <c r="R18" s="4"/>
      <c r="S18" s="4"/>
      <c r="T18" s="4"/>
      <c r="U18" s="4"/>
      <c r="V18" s="4"/>
      <c r="W18" s="4"/>
      <c r="X18" s="4"/>
      <c r="Y18" s="4"/>
      <c r="Z18" s="5"/>
      <c r="AA18" s="4"/>
      <c r="AB18" s="4"/>
      <c r="AC18" s="4"/>
      <c r="AD18" s="4"/>
      <c r="AE18" s="4"/>
      <c r="AF18" s="4"/>
      <c r="AG18" s="4"/>
      <c r="AH18" s="5"/>
      <c r="AI18" s="4"/>
      <c r="AJ18" s="4"/>
      <c r="AK18" s="4"/>
      <c r="AL18" s="4"/>
      <c r="AM18" s="4"/>
      <c r="AN18" s="4"/>
      <c r="AO18" s="4"/>
    </row>
    <row r="19" spans="7:41" ht="14">
      <c r="H19" s="152"/>
      <c r="J19" s="153"/>
      <c r="Q19" s="4"/>
      <c r="R19" s="4"/>
      <c r="S19" s="4"/>
      <c r="T19" s="4"/>
      <c r="U19" s="4"/>
      <c r="V19" s="4"/>
      <c r="W19" s="4"/>
      <c r="X19" s="4"/>
      <c r="Y19" s="4"/>
      <c r="Z19" s="5"/>
      <c r="AA19" s="4"/>
      <c r="AB19" s="4"/>
      <c r="AC19" s="4"/>
      <c r="AD19" s="4"/>
      <c r="AE19" s="4"/>
      <c r="AF19" s="4"/>
      <c r="AG19" s="4"/>
      <c r="AH19" s="5"/>
      <c r="AI19" s="4"/>
      <c r="AJ19" s="4"/>
      <c r="AK19" s="4"/>
      <c r="AL19" s="4"/>
      <c r="AM19" s="4"/>
      <c r="AN19" s="4"/>
      <c r="AO19" s="4"/>
    </row>
    <row r="20" spans="7:41" ht="15.75" customHeight="1">
      <c r="G20" s="4"/>
      <c r="H20" s="4"/>
      <c r="I20" s="4"/>
      <c r="J20" s="4"/>
      <c r="K20" s="4"/>
      <c r="L20" s="4"/>
      <c r="P20" s="69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5"/>
      <c r="AI20" s="4"/>
      <c r="AJ20" s="4"/>
      <c r="AK20" s="4"/>
      <c r="AL20" s="4"/>
      <c r="AM20" s="4"/>
      <c r="AN20" s="4"/>
      <c r="AO20" s="4"/>
    </row>
    <row r="21" spans="7:41" ht="30" customHeight="1">
      <c r="G21" s="4"/>
      <c r="H21" s="95" t="s">
        <v>388</v>
      </c>
      <c r="I21" s="96"/>
      <c r="J21" s="95" t="s">
        <v>439</v>
      </c>
      <c r="K21" s="4"/>
      <c r="L21" s="4"/>
      <c r="P21" s="69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5"/>
      <c r="AI21" s="4"/>
      <c r="AJ21" s="4"/>
      <c r="AK21" s="4"/>
      <c r="AL21" s="4"/>
      <c r="AM21" s="4"/>
      <c r="AN21" s="4"/>
      <c r="AO21" s="4"/>
    </row>
    <row r="22" spans="7:41" ht="15" customHeight="1">
      <c r="G22" s="4"/>
      <c r="H22" s="4"/>
      <c r="I22" s="4"/>
      <c r="J22" s="4"/>
      <c r="K22" s="4"/>
      <c r="L22" s="4"/>
      <c r="Q22" s="4"/>
      <c r="R22" s="4"/>
      <c r="S22" s="4"/>
      <c r="T22" s="4"/>
      <c r="U22" s="4"/>
      <c r="V22" s="4"/>
      <c r="W22" s="4"/>
      <c r="X22" s="4"/>
      <c r="Y22" s="4"/>
      <c r="Z22" s="5"/>
      <c r="AA22" s="5"/>
      <c r="AB22" s="4"/>
      <c r="AC22" s="4"/>
      <c r="AD22" s="4"/>
      <c r="AE22" s="4"/>
      <c r="AF22" s="4"/>
      <c r="AG22" s="4"/>
      <c r="AH22" s="5"/>
      <c r="AI22" s="4"/>
      <c r="AJ22" s="4"/>
      <c r="AK22" s="4"/>
      <c r="AL22" s="4"/>
      <c r="AM22" s="4"/>
      <c r="AN22" s="4"/>
      <c r="AO22" s="4"/>
    </row>
    <row r="23" spans="7:41" ht="21.75" customHeight="1">
      <c r="G23" s="4"/>
      <c r="H23" s="4"/>
      <c r="I23" s="4"/>
      <c r="J23" s="4"/>
      <c r="K23" s="4"/>
      <c r="L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5"/>
      <c r="AB23" s="4"/>
      <c r="AC23" s="4"/>
      <c r="AD23" s="4"/>
      <c r="AE23" s="4"/>
      <c r="AF23" s="4"/>
      <c r="AG23" s="4"/>
      <c r="AH23" s="5"/>
      <c r="AI23" s="4"/>
      <c r="AJ23" s="4"/>
      <c r="AK23" s="4"/>
      <c r="AL23" s="4"/>
      <c r="AM23" s="4"/>
      <c r="AN23" s="4"/>
      <c r="AO23" s="4"/>
    </row>
    <row r="24" spans="7:41" ht="14">
      <c r="G24" s="4"/>
      <c r="H24" s="4"/>
      <c r="I24" s="4"/>
      <c r="J24" s="4"/>
      <c r="K24" s="4"/>
      <c r="L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</row>
    <row r="25" spans="7:41" ht="14">
      <c r="G25" s="4"/>
      <c r="H25" s="4"/>
      <c r="I25" s="4"/>
      <c r="J25" s="4"/>
      <c r="K25" s="4"/>
      <c r="L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5"/>
      <c r="AI25" s="5"/>
      <c r="AJ25" s="4"/>
      <c r="AK25" s="4"/>
      <c r="AL25" s="4"/>
      <c r="AM25" s="4"/>
      <c r="AN25" s="4"/>
      <c r="AO25" s="4"/>
    </row>
    <row r="26" spans="7:41" ht="14" hidden="1">
      <c r="G26" s="4"/>
      <c r="H26" s="4"/>
      <c r="I26" s="4"/>
      <c r="J26" s="4"/>
      <c r="K26" s="4"/>
      <c r="L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5"/>
      <c r="AJ26" s="9"/>
      <c r="AK26" s="4"/>
      <c r="AL26" s="4"/>
      <c r="AM26" s="4"/>
      <c r="AN26" s="4"/>
      <c r="AO26" s="4"/>
    </row>
    <row r="27" spans="7:41" ht="14" hidden="1">
      <c r="G27" s="4"/>
      <c r="H27" s="4"/>
      <c r="I27" s="4"/>
      <c r="J27" s="4"/>
      <c r="K27" s="4"/>
      <c r="L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7:41" ht="14" hidden="1">
      <c r="G28" s="4"/>
      <c r="H28" s="4"/>
      <c r="I28" s="4"/>
      <c r="J28" s="4"/>
      <c r="K28" s="4"/>
      <c r="L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</row>
    <row r="29" spans="7:41" ht="14" hidden="1">
      <c r="G29" s="4"/>
      <c r="H29" s="4"/>
      <c r="I29" s="4"/>
      <c r="J29" s="4"/>
      <c r="K29" s="4"/>
      <c r="L29" s="4"/>
    </row>
    <row r="30" spans="7:41" ht="14" hidden="1">
      <c r="G30" s="4"/>
      <c r="H30" s="4"/>
      <c r="I30" s="4"/>
      <c r="J30" s="4"/>
      <c r="K30" s="4"/>
      <c r="L30" s="4"/>
    </row>
    <row r="31" spans="7:41" ht="14" hidden="1">
      <c r="G31" s="4"/>
      <c r="H31" s="4"/>
      <c r="I31" s="4"/>
      <c r="J31" s="4"/>
      <c r="K31" s="4"/>
      <c r="L31" s="4"/>
    </row>
    <row r="32" spans="7:41" ht="14" hidden="1">
      <c r="G32" s="4"/>
      <c r="H32" s="4"/>
      <c r="I32" s="4"/>
      <c r="J32" s="4"/>
      <c r="K32" s="4"/>
      <c r="L32" s="4"/>
    </row>
    <row r="33" spans="7:12" ht="14" hidden="1">
      <c r="G33" s="4"/>
      <c r="H33" s="4"/>
      <c r="I33" s="4"/>
      <c r="J33" s="4"/>
      <c r="K33" s="4"/>
      <c r="L33" s="4"/>
    </row>
    <row r="34" spans="7:12" ht="14" hidden="1">
      <c r="G34" s="4"/>
      <c r="H34" s="4"/>
      <c r="I34" s="4"/>
      <c r="J34" s="4"/>
      <c r="K34" s="4"/>
      <c r="L34" s="4"/>
    </row>
    <row r="35" spans="7:12" ht="14" hidden="1">
      <c r="G35" s="4"/>
      <c r="H35" s="4"/>
      <c r="I35" s="4"/>
      <c r="J35" s="4"/>
      <c r="K35" s="4"/>
      <c r="L35" s="4"/>
    </row>
    <row r="36" spans="7:12" ht="14" hidden="1">
      <c r="G36" s="4"/>
      <c r="H36" s="4"/>
      <c r="I36" s="31"/>
      <c r="J36" s="4"/>
      <c r="K36" s="4"/>
      <c r="L36" s="4"/>
    </row>
    <row r="37" spans="7:12" ht="14" hidden="1">
      <c r="G37" s="4"/>
      <c r="H37" s="4"/>
      <c r="I37" s="10"/>
    </row>
    <row r="38" spans="7:12" ht="14" hidden="1">
      <c r="I38" s="10"/>
    </row>
    <row r="39" spans="7:12" ht="14" hidden="1">
      <c r="I39" s="10"/>
    </row>
    <row r="40" spans="7:12" ht="14" hidden="1">
      <c r="I40" s="10"/>
    </row>
    <row r="41" spans="7:12" ht="14" hidden="1">
      <c r="I41" s="10"/>
    </row>
    <row r="42" spans="7:12" ht="14" hidden="1">
      <c r="I42" s="10"/>
    </row>
    <row r="43" spans="7:12" ht="14" hidden="1"/>
    <row r="44" spans="7:12" ht="14" hidden="1"/>
  </sheetData>
  <sheetProtection password="837D" sheet="1" objects="1" scenarios="1" selectLockedCells="1"/>
  <protectedRanges>
    <protectedRange sqref="J11:J12 I9:J10" name="Range1"/>
  </protectedRanges>
  <mergeCells count="4">
    <mergeCell ref="I7:J7"/>
    <mergeCell ref="G8:P15"/>
    <mergeCell ref="H18:H19"/>
    <mergeCell ref="J18:J19"/>
  </mergeCells>
  <dataValidations count="1">
    <dataValidation type="list" allowBlank="1" showInputMessage="1" showErrorMessage="1" sqref="H23">
      <formula1>IF($H$5="Information and Creative Technology",INDIRECT(SUBSTITUTE(H5," ","_")&amp;"_Optional"),VLOOKUP(H5,G22:H35,2,FALSE))</formula1>
    </dataValidation>
  </dataValidations>
  <pageMargins left="0.7" right="0.7" top="0.75" bottom="0.75" header="0.3" footer="0.3"/>
  <pageSetup paperSize="9" orientation="portrait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1:IT43"/>
  <sheetViews>
    <sheetView showGridLines="0" showRowColHeaders="0" workbookViewId="0">
      <selection activeCell="H5" sqref="H5"/>
    </sheetView>
  </sheetViews>
  <sheetFormatPr baseColWidth="10" defaultColWidth="0" defaultRowHeight="14" zeroHeight="1" x14ac:dyDescent="0"/>
  <cols>
    <col min="1" max="1" width="1" style="3" customWidth="1"/>
    <col min="2" max="2" width="1.33203125" style="3" customWidth="1"/>
    <col min="3" max="3" width="1" style="3" customWidth="1"/>
    <col min="4" max="4" width="1.1640625" style="3" customWidth="1"/>
    <col min="5" max="5" width="1.6640625" style="3" customWidth="1"/>
    <col min="6" max="6" width="10.5" style="3" customWidth="1"/>
    <col min="7" max="7" width="12.83203125" style="3" customWidth="1"/>
    <col min="8" max="8" width="59.5" style="3" customWidth="1"/>
    <col min="9" max="9" width="9.83203125" style="3" customWidth="1"/>
    <col min="10" max="10" width="12.33203125" style="3" customWidth="1"/>
    <col min="11" max="11" width="8.33203125" style="3" hidden="1" customWidth="1"/>
    <col min="12" max="12" width="10.33203125" style="3" customWidth="1"/>
    <col min="13" max="13" width="3.83203125" style="3" customWidth="1"/>
    <col min="14" max="14" width="19.6640625" style="3" customWidth="1"/>
    <col min="15" max="15" width="4.5" style="3" customWidth="1"/>
    <col min="16" max="16" width="3.5" style="3" customWidth="1"/>
    <col min="17" max="17" width="7.33203125" style="3" hidden="1" customWidth="1"/>
    <col min="18" max="18" width="8.83203125" style="3" hidden="1" customWidth="1"/>
    <col min="19" max="19" width="9.1640625" style="3" hidden="1" customWidth="1"/>
    <col min="20" max="20" width="10.33203125" style="3" hidden="1" customWidth="1"/>
    <col min="21" max="21" width="12.33203125" style="3" hidden="1" customWidth="1"/>
    <col min="22" max="22" width="9.1640625" style="3" hidden="1" customWidth="1"/>
    <col min="23" max="23" width="9.5" style="3" hidden="1" customWidth="1"/>
    <col min="24" max="24" width="16" style="3" hidden="1" customWidth="1"/>
    <col min="25" max="25" width="8.83203125" style="3" hidden="1" customWidth="1"/>
    <col min="26" max="26" width="0" style="3" hidden="1" customWidth="1"/>
    <col min="27" max="27" width="11.83203125" style="3" hidden="1" customWidth="1"/>
    <col min="28" max="28" width="11.5" style="3" hidden="1" customWidth="1"/>
    <col min="29" max="29" width="6.5" style="3" hidden="1" customWidth="1"/>
    <col min="30" max="30" width="9.1640625" style="3" hidden="1" customWidth="1"/>
    <col min="31" max="31" width="9.6640625" style="3" hidden="1" customWidth="1"/>
    <col min="32" max="32" width="8.83203125" style="3" hidden="1" customWidth="1"/>
    <col min="33" max="35" width="0" style="3" hidden="1" customWidth="1"/>
    <col min="36" max="39" width="9.1640625" style="3" hidden="1" customWidth="1"/>
    <col min="40" max="40" width="10" style="3" hidden="1" customWidth="1"/>
    <col min="41" max="41" width="0" style="3" hidden="1" customWidth="1"/>
    <col min="42" max="43" width="9.1640625" style="3" hidden="1" customWidth="1"/>
    <col min="44" max="253" width="0" style="3" hidden="1" customWidth="1"/>
    <col min="254" max="254" width="7.83203125" style="3" hidden="1" customWidth="1"/>
    <col min="255" max="16384" width="0" style="3" hidden="1"/>
  </cols>
  <sheetData>
    <row r="1" spans="2:43" ht="12.75" customHeight="1"/>
    <row r="2" spans="2:43" ht="19.5" customHeight="1">
      <c r="H2" s="73" t="s">
        <v>375</v>
      </c>
    </row>
    <row r="3" spans="2:43" ht="15" customHeight="1"/>
    <row r="4" spans="2:43" ht="15" customHeight="1"/>
    <row r="5" spans="2:43" ht="15" customHeight="1">
      <c r="F5" s="91" t="s">
        <v>384</v>
      </c>
      <c r="G5" s="8" t="s">
        <v>153</v>
      </c>
      <c r="H5" s="84"/>
      <c r="R5" s="4"/>
      <c r="AG5" s="4"/>
      <c r="AH5" s="4"/>
      <c r="AI5" s="4"/>
      <c r="AJ5" s="4"/>
      <c r="AK5" s="4"/>
      <c r="AL5" s="4"/>
      <c r="AM5" s="4"/>
      <c r="AN5" s="4"/>
      <c r="AO5" s="4"/>
    </row>
    <row r="6" spans="2:43"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G6" s="4"/>
      <c r="AH6" s="4"/>
      <c r="AI6" s="4"/>
      <c r="AJ6" s="4"/>
      <c r="AK6" s="4"/>
      <c r="AL6" s="4"/>
      <c r="AM6" s="4"/>
      <c r="AN6" s="4"/>
      <c r="AO6" s="4"/>
    </row>
    <row r="7" spans="2:43">
      <c r="B7" s="5"/>
      <c r="C7" s="5"/>
      <c r="D7" s="4"/>
      <c r="I7" s="154" t="s">
        <v>9</v>
      </c>
      <c r="J7" s="155"/>
      <c r="Q7" s="4"/>
      <c r="R7" s="4"/>
      <c r="S7" s="7"/>
      <c r="T7" s="7"/>
      <c r="U7" s="4"/>
      <c r="V7" s="4"/>
      <c r="W7" s="4"/>
      <c r="X7" s="4"/>
      <c r="Y7" s="4"/>
      <c r="Z7" s="4"/>
      <c r="AA7" s="6"/>
      <c r="AB7" s="6"/>
      <c r="AC7" s="4"/>
      <c r="AD7" s="4"/>
      <c r="AE7" s="4"/>
      <c r="AF7" s="4"/>
      <c r="AG7" s="4"/>
      <c r="AH7" s="4"/>
      <c r="AI7" s="7"/>
      <c r="AJ7" s="7"/>
      <c r="AK7" s="4"/>
      <c r="AL7" s="4"/>
      <c r="AM7" s="4"/>
      <c r="AN7" s="4"/>
      <c r="AO7" s="4"/>
    </row>
    <row r="8" spans="2:43">
      <c r="B8" s="4"/>
      <c r="C8" s="5"/>
      <c r="D8" s="4"/>
      <c r="G8" s="27" t="s">
        <v>147</v>
      </c>
      <c r="H8" s="27" t="s">
        <v>377</v>
      </c>
      <c r="I8" s="27" t="s">
        <v>0</v>
      </c>
      <c r="J8" s="27" t="s">
        <v>1</v>
      </c>
      <c r="K8" s="66"/>
      <c r="L8" s="27" t="s">
        <v>3</v>
      </c>
      <c r="P8" s="4"/>
      <c r="Q8" s="5"/>
      <c r="R8" s="4"/>
      <c r="S8" s="5"/>
      <c r="T8" s="5"/>
      <c r="U8" s="4"/>
      <c r="V8" s="5"/>
      <c r="W8" s="4"/>
      <c r="X8" s="4"/>
      <c r="Y8" s="4"/>
      <c r="Z8" s="5"/>
      <c r="AA8" s="5"/>
      <c r="AB8" s="5"/>
      <c r="AC8" s="4"/>
      <c r="AD8" s="5"/>
      <c r="AE8" s="5"/>
      <c r="AF8" s="5"/>
      <c r="AG8" s="4"/>
      <c r="AH8" s="5"/>
      <c r="AI8" s="5"/>
      <c r="AJ8" s="5"/>
      <c r="AK8" s="4"/>
      <c r="AL8" s="5"/>
      <c r="AM8" s="4"/>
      <c r="AN8" s="4"/>
      <c r="AO8" s="4"/>
      <c r="AQ8" s="3">
        <v>30</v>
      </c>
    </row>
    <row r="9" spans="2:43" ht="15.75" customHeight="1">
      <c r="B9" s="4"/>
      <c r="C9" s="5"/>
      <c r="D9" s="4"/>
      <c r="F9" s="8" t="s">
        <v>134</v>
      </c>
      <c r="G9" s="22" t="str">
        <f>IF(ISERROR(VLOOKUP(H9,Data!B3:D19,3,FALSE)),"",VLOOKUP(H9,Data!B3:D19,3,FALSE))</f>
        <v/>
      </c>
      <c r="H9" s="81" t="str">
        <f>IF(ISERROR(IF($H$5="Information and Creative Technology",Data!B19,VLOOKUP(H5,Data!A3:B19,2,FALSE))),"",IF($H$5="Information and Creative Technology",Data!B19,VLOOKUP(H5,Data!A3:B19,2,FALSE)))</f>
        <v/>
      </c>
      <c r="I9" s="12" t="str">
        <f>IF(ISERROR(VLOOKUP(H9,Data!$B$3:$D$19,2,FALSE)),"",VLOOKUP(H9,Data!$B$3:$D$19,2,FALSE))</f>
        <v/>
      </c>
      <c r="J9" s="86"/>
      <c r="K9" s="11" t="b">
        <f>IF(J9="U",0,IF(J9="L1",2,IF(J9="P",4,IF(J9="M",6,IF(J9="D",8)))))</f>
        <v>0</v>
      </c>
      <c r="L9" s="12" t="str">
        <f>IF(ISERROR(IF(J9="","",K9*(I9/10))),"",IF(J9="","",K9*(I9/10)))</f>
        <v/>
      </c>
      <c r="M9" s="32"/>
      <c r="N9" s="3" t="e">
        <f>L9+L10</f>
        <v>#VALUE!</v>
      </c>
      <c r="P9" s="4"/>
      <c r="Q9" s="5"/>
      <c r="R9" s="4"/>
      <c r="S9" s="4"/>
      <c r="T9" s="4"/>
      <c r="U9" s="4"/>
      <c r="V9" s="4"/>
      <c r="W9" s="4"/>
      <c r="X9" s="4"/>
      <c r="Y9" s="4"/>
      <c r="Z9" s="5"/>
      <c r="AA9" s="4"/>
      <c r="AB9" s="4"/>
      <c r="AC9" s="4"/>
      <c r="AD9" s="4"/>
      <c r="AE9" s="4"/>
      <c r="AF9" s="4"/>
      <c r="AG9" s="4"/>
      <c r="AH9" s="5"/>
      <c r="AI9" s="4"/>
      <c r="AJ9" s="4"/>
      <c r="AK9" s="4"/>
      <c r="AL9" s="4"/>
      <c r="AM9" s="4"/>
      <c r="AN9" s="4"/>
      <c r="AO9" s="4"/>
      <c r="AQ9" s="3">
        <v>60</v>
      </c>
    </row>
    <row r="10" spans="2:43" ht="15.75" customHeight="1">
      <c r="B10" s="4"/>
      <c r="C10" s="5"/>
      <c r="D10" s="4"/>
      <c r="F10" s="8" t="s">
        <v>134</v>
      </c>
      <c r="G10" s="22" t="str">
        <f>IF(ISERROR(VLOOKUP(H10,Data!G3:I19,3,FALSE)),"",VLOOKUP(H10,Data!G3:I19,3,FALSE))</f>
        <v/>
      </c>
      <c r="H10" s="81" t="str">
        <f>IF(ISERROR(VLOOKUP(H5,Data!F3:G19,2,FALSE)),"",VLOOKUP(H5,Data!F3:G19,2,FALSE))</f>
        <v/>
      </c>
      <c r="I10" s="12" t="str">
        <f>IF(ISERROR(VLOOKUP(H10,Data!G3:I19,2,FALSE)),"",VLOOKUP(H10,Data!G3:I19,2,FALSE))</f>
        <v/>
      </c>
      <c r="J10" s="86"/>
      <c r="K10" s="11" t="b">
        <f>IF(J10="U",0,IF(J10="L1",2,IF(J10="P",4,IF(J10="M",6,IF(J10="D",8)))))</f>
        <v>0</v>
      </c>
      <c r="L10" s="12" t="str">
        <f t="shared" ref="L10:L12" si="0">IF(ISERROR(IF(J10="","",K10*(I10/10))),"",IF(J10="","",K10*(I10/10)))</f>
        <v/>
      </c>
      <c r="M10" s="32"/>
      <c r="N10" s="3">
        <f>SUM(L9:L12)</f>
        <v>0</v>
      </c>
      <c r="P10" s="4"/>
      <c r="Q10" s="5"/>
      <c r="R10" s="4"/>
      <c r="S10" s="4"/>
      <c r="T10" s="4"/>
      <c r="U10" s="4"/>
      <c r="V10" s="4"/>
      <c r="W10" s="4"/>
      <c r="X10" s="4"/>
      <c r="Y10" s="4"/>
      <c r="Z10" s="5"/>
      <c r="AA10" s="4"/>
      <c r="AB10" s="4"/>
      <c r="AC10" s="4"/>
      <c r="AD10" s="4"/>
      <c r="AE10" s="4"/>
      <c r="AF10" s="4"/>
      <c r="AG10" s="4"/>
      <c r="AH10" s="5"/>
      <c r="AI10" s="4"/>
      <c r="AJ10" s="4"/>
      <c r="AK10" s="4"/>
      <c r="AL10" s="4"/>
      <c r="AM10" s="4"/>
      <c r="AN10" s="4"/>
      <c r="AO10" s="4"/>
    </row>
    <row r="11" spans="2:43" ht="15.75" customHeight="1">
      <c r="B11" s="4"/>
      <c r="C11" s="5"/>
      <c r="D11" s="4"/>
      <c r="F11" s="8" t="str">
        <f>IF(OR(H5="Construction and the Built Environment",H5="Hospitality",H5="CPLD"),"Mandatory",IF(OR(H5="Application of Science",H5="Principles of Applied Science"),"Core","Optional"))</f>
        <v>Optional</v>
      </c>
      <c r="G11" s="22" t="str">
        <f>IF(ISERROR(VLOOKUP(H11,Data!$Q$3:$S$82,3,FALSE)),"",VLOOKUP(H11,Data!$Q$3:$S$82,3,FALSE))</f>
        <v/>
      </c>
      <c r="H11" s="85"/>
      <c r="I11" s="12" t="str">
        <f>IF(ISERROR(VLOOKUP(H11,Data!Q$3:S$82,2,FALSE)),"",VLOOKUP(H11,Data!Q$3:S$82,2,FALSE))</f>
        <v/>
      </c>
      <c r="J11" s="86"/>
      <c r="K11" s="11" t="b">
        <f>IF(J11="U",0,IF(J11="L1",2,IF(J11="P",4,IF(J11="M",6,IF(J11="D",8)))))</f>
        <v>0</v>
      </c>
      <c r="L11" s="12" t="str">
        <f t="shared" si="0"/>
        <v/>
      </c>
      <c r="N11" s="3" t="e">
        <f>IF(OR(H5="Application of Science",H5="Principles of Applied Science"),N10,IF(AND(N9&lt;24,N10&lt;24),"U",IF(AND(N9&lt;24,N9&gt;11,N10&gt;23),"Level 1",IF(AND(N9&gt;23,N10&gt;23),N10,IF(N9&lt;12,"U")))))</f>
        <v>#VALUE!</v>
      </c>
      <c r="P11" s="4"/>
      <c r="Q11" s="5"/>
      <c r="R11" s="4"/>
      <c r="S11" s="4"/>
      <c r="T11" s="4"/>
      <c r="U11" s="4"/>
      <c r="V11" s="4"/>
      <c r="W11" s="4"/>
      <c r="X11" s="4"/>
      <c r="Y11" s="4"/>
      <c r="Z11" s="5"/>
      <c r="AA11" s="4"/>
      <c r="AB11" s="4"/>
      <c r="AC11" s="4"/>
      <c r="AD11" s="4"/>
      <c r="AE11" s="4"/>
      <c r="AF11" s="4"/>
      <c r="AG11" s="4"/>
      <c r="AH11" s="5"/>
      <c r="AI11" s="4"/>
      <c r="AJ11" s="4"/>
      <c r="AK11" s="4"/>
      <c r="AL11" s="4"/>
      <c r="AM11" s="4"/>
      <c r="AN11" s="4"/>
      <c r="AO11" s="4"/>
    </row>
    <row r="12" spans="2:43" ht="15.75" customHeight="1">
      <c r="F12" s="8" t="str">
        <f>IF(OR(H5="Application of Science", H5="Principles of Applied Science"),"Core", "Optional")</f>
        <v>Optional</v>
      </c>
      <c r="G12" s="22" t="str">
        <f>IF(ISERROR(VLOOKUP(H12,Data!$Q$3:$S$82,3,FALSE)),"",VLOOKUP(H12,Data!$Q$3:$S$82,3,FALSE))</f>
        <v/>
      </c>
      <c r="H12" s="85"/>
      <c r="I12" s="12" t="str">
        <f>IF(ISERROR(VLOOKUP(H12,Data!Q$3:S$82,2,FALSE)),"",VLOOKUP(H12,Data!Q$3:S$82,2,FALSE))</f>
        <v/>
      </c>
      <c r="J12" s="86"/>
      <c r="K12" s="11" t="b">
        <f>IF(J12="U",0,IF(J12="L1",2,IF(J12="P",4,IF(J12="M",6,IF(J12="D",8)))))</f>
        <v>0</v>
      </c>
      <c r="L12" s="12" t="str">
        <f t="shared" si="0"/>
        <v/>
      </c>
      <c r="N12" s="68" t="str">
        <f>IF(ISERROR(IF(N11="U","U",IF(N11="Level 1","Level 1",VLOOKUP(N11,Sheet1!A2:B99,2,FALSE)))),"",IF(N11="U","U",IF(N11="Level 1","Level 1",VLOOKUP(N11,Sheet1!A2:B99,2,FALSE))))</f>
        <v/>
      </c>
      <c r="O12" s="4"/>
      <c r="P12" s="4"/>
      <c r="Q12" s="5"/>
      <c r="R12" s="4"/>
      <c r="S12" s="4"/>
      <c r="T12" s="4"/>
      <c r="U12" s="4"/>
      <c r="V12" s="4"/>
      <c r="W12" s="4"/>
      <c r="X12" s="4"/>
      <c r="Y12" s="4"/>
      <c r="Z12" s="5"/>
      <c r="AA12" s="4"/>
      <c r="AB12" s="4"/>
      <c r="AC12" s="4"/>
      <c r="AD12" s="4"/>
      <c r="AE12" s="4"/>
      <c r="AF12" s="4"/>
      <c r="AG12" s="4"/>
      <c r="AH12" s="5"/>
      <c r="AI12" s="4"/>
      <c r="AJ12" s="4"/>
      <c r="AK12" s="4"/>
      <c r="AL12" s="4"/>
      <c r="AM12" s="4"/>
      <c r="AN12" s="4"/>
      <c r="AO12" s="4"/>
    </row>
    <row r="13" spans="2:43">
      <c r="I13" s="25">
        <f>IF(ISERROR(SUM(I9:I12)),"",SUM(I9:I12))</f>
        <v>0</v>
      </c>
      <c r="P13" s="4"/>
      <c r="Q13" s="5"/>
      <c r="R13" s="4"/>
      <c r="S13" s="4"/>
      <c r="T13" s="4"/>
      <c r="U13" s="4"/>
      <c r="V13" s="4"/>
      <c r="W13" s="4"/>
      <c r="X13" s="4"/>
      <c r="Y13" s="4"/>
      <c r="Z13" s="5"/>
      <c r="AA13" s="4"/>
      <c r="AB13" s="4"/>
      <c r="AC13" s="4"/>
      <c r="AD13" s="4"/>
      <c r="AE13" s="4"/>
      <c r="AF13" s="4"/>
      <c r="AG13" s="4"/>
      <c r="AH13" s="5"/>
      <c r="AI13" s="4"/>
      <c r="AJ13" s="4"/>
      <c r="AK13" s="4"/>
      <c r="AL13" s="4"/>
      <c r="AM13" s="4"/>
      <c r="AN13" s="4"/>
      <c r="AO13" s="4"/>
    </row>
    <row r="14" spans="2:43">
      <c r="G14" s="5"/>
      <c r="H14" s="5"/>
      <c r="O14" s="10" t="str">
        <f>IF(H5="Construction and the Built Environment","Z",IF(H5="Hospitality","Y",""))</f>
        <v/>
      </c>
      <c r="P14" s="4"/>
      <c r="Q14" s="26"/>
      <c r="R14" s="4"/>
      <c r="S14" s="4"/>
      <c r="T14" s="4"/>
      <c r="U14" s="4"/>
      <c r="V14" s="4"/>
      <c r="W14" s="4"/>
      <c r="X14" s="4"/>
      <c r="Y14" s="4"/>
      <c r="Z14" s="5"/>
      <c r="AA14" s="4"/>
      <c r="AB14" s="4"/>
      <c r="AC14" s="4"/>
      <c r="AD14" s="4"/>
      <c r="AE14" s="4"/>
      <c r="AF14" s="4"/>
      <c r="AG14" s="4"/>
      <c r="AH14" s="5"/>
      <c r="AI14" s="4"/>
      <c r="AJ14" s="4"/>
      <c r="AK14" s="4"/>
      <c r="AL14" s="4"/>
      <c r="AM14" s="4"/>
      <c r="AN14" s="4"/>
      <c r="AO14" s="4"/>
    </row>
    <row r="15" spans="2:43" ht="15" customHeight="1">
      <c r="G15" s="4"/>
      <c r="H15" s="4"/>
      <c r="I15" s="4"/>
      <c r="J15" s="1" t="s">
        <v>381</v>
      </c>
      <c r="L15" s="34">
        <f>SUM(L9:L12)</f>
        <v>0</v>
      </c>
      <c r="N15" s="156" t="e">
        <f>IF(OR(H5="Application of Science",H5="Principles of Applied Science"), "", IF($L9+$L10&lt;24,"24 points across Core Units required to achieve Level 2",""))</f>
        <v>#VALUE!</v>
      </c>
      <c r="P15" s="82"/>
      <c r="Q15" s="5"/>
      <c r="R15" s="4"/>
      <c r="S15" s="4"/>
      <c r="T15" s="4"/>
      <c r="U15" s="4"/>
      <c r="V15" s="4"/>
      <c r="W15" s="4"/>
      <c r="X15" s="4"/>
      <c r="Y15" s="4"/>
      <c r="Z15" s="5"/>
      <c r="AA15" s="4"/>
      <c r="AB15" s="4"/>
      <c r="AC15" s="4"/>
      <c r="AD15" s="4"/>
      <c r="AE15" s="4"/>
      <c r="AF15" s="4"/>
      <c r="AG15" s="4"/>
      <c r="AH15" s="5"/>
      <c r="AI15" s="4"/>
      <c r="AJ15" s="4"/>
      <c r="AK15" s="4"/>
      <c r="AL15" s="4"/>
      <c r="AM15" s="4"/>
      <c r="AN15" s="4"/>
      <c r="AO15" s="4"/>
    </row>
    <row r="16" spans="2:43" ht="30" customHeight="1">
      <c r="J16" s="27" t="s">
        <v>382</v>
      </c>
      <c r="L16" s="80" t="str">
        <f>IF(I13&gt;=120,N12," ")</f>
        <v xml:space="preserve"> </v>
      </c>
      <c r="N16" s="156"/>
      <c r="P16" s="82"/>
      <c r="Q16" s="5"/>
      <c r="R16" s="4"/>
      <c r="S16" s="4"/>
      <c r="T16" s="4"/>
      <c r="U16" s="4"/>
      <c r="V16" s="4"/>
      <c r="W16" s="4"/>
      <c r="X16" s="4"/>
      <c r="Y16" s="4"/>
      <c r="Z16" s="5"/>
      <c r="AA16" s="4"/>
      <c r="AB16" s="4"/>
      <c r="AC16" s="4"/>
      <c r="AD16" s="4"/>
      <c r="AE16" s="4"/>
      <c r="AF16" s="4"/>
      <c r="AG16" s="4"/>
      <c r="AH16" s="5"/>
      <c r="AI16" s="4"/>
      <c r="AJ16" s="4"/>
      <c r="AK16" s="4"/>
      <c r="AL16" s="4"/>
      <c r="AM16" s="4"/>
      <c r="AN16" s="4"/>
      <c r="AO16" s="4"/>
    </row>
    <row r="17" spans="7:41">
      <c r="Q17" s="4"/>
      <c r="R17" s="4"/>
      <c r="S17" s="4"/>
      <c r="T17" s="4"/>
      <c r="U17" s="4"/>
      <c r="V17" s="4"/>
      <c r="W17" s="4"/>
      <c r="X17" s="4"/>
      <c r="Y17" s="4"/>
      <c r="Z17" s="5"/>
      <c r="AA17" s="4"/>
      <c r="AB17" s="4"/>
      <c r="AC17" s="4"/>
      <c r="AD17" s="4"/>
      <c r="AE17" s="4"/>
      <c r="AF17" s="4"/>
      <c r="AG17" s="4"/>
      <c r="AH17" s="5"/>
      <c r="AI17" s="4"/>
      <c r="AJ17" s="4"/>
      <c r="AK17" s="4"/>
      <c r="AL17" s="4"/>
      <c r="AM17" s="4"/>
      <c r="AN17" s="4"/>
      <c r="AO17" s="4"/>
    </row>
    <row r="18" spans="7:41">
      <c r="P18" s="72"/>
      <c r="Q18" s="5"/>
      <c r="R18" s="4"/>
      <c r="S18" s="4"/>
      <c r="T18" s="4"/>
      <c r="U18" s="4"/>
      <c r="V18" s="4"/>
      <c r="W18" s="4"/>
      <c r="X18" s="4"/>
      <c r="Y18" s="4"/>
      <c r="Z18" s="5"/>
      <c r="AA18" s="4"/>
      <c r="AB18" s="4"/>
      <c r="AC18" s="4"/>
      <c r="AD18" s="4"/>
      <c r="AE18" s="4"/>
      <c r="AF18" s="4"/>
      <c r="AG18" s="4"/>
      <c r="AH18" s="5"/>
      <c r="AI18" s="4"/>
      <c r="AJ18" s="4"/>
      <c r="AK18" s="4"/>
      <c r="AL18" s="4"/>
      <c r="AM18" s="4"/>
      <c r="AN18" s="4"/>
      <c r="AO18" s="4"/>
    </row>
    <row r="19" spans="7:41">
      <c r="Q19" s="4"/>
      <c r="R19" s="4"/>
      <c r="S19" s="4"/>
      <c r="T19" s="4"/>
      <c r="U19" s="4"/>
      <c r="V19" s="4"/>
      <c r="W19" s="4"/>
      <c r="X19" s="4"/>
      <c r="Y19" s="4"/>
      <c r="Z19" s="5"/>
      <c r="AA19" s="4"/>
      <c r="AB19" s="4"/>
      <c r="AC19" s="4"/>
      <c r="AD19" s="4"/>
      <c r="AE19" s="4"/>
      <c r="AF19" s="4"/>
      <c r="AG19" s="4"/>
      <c r="AH19" s="5"/>
      <c r="AI19" s="4"/>
      <c r="AJ19" s="4"/>
      <c r="AK19" s="4"/>
      <c r="AL19" s="4"/>
      <c r="AM19" s="4"/>
      <c r="AN19" s="4"/>
      <c r="AO19" s="4"/>
    </row>
    <row r="20" spans="7:41">
      <c r="G20" s="4"/>
      <c r="H20" s="4"/>
      <c r="I20" s="4"/>
      <c r="J20" s="4"/>
      <c r="K20" s="4"/>
      <c r="L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5"/>
      <c r="AI20" s="4"/>
      <c r="AJ20" s="4"/>
      <c r="AK20" s="4"/>
      <c r="AL20" s="4"/>
      <c r="AM20" s="4"/>
      <c r="AN20" s="4"/>
      <c r="AO20" s="4"/>
    </row>
    <row r="21" spans="7:41">
      <c r="G21" s="4"/>
      <c r="H21" s="4"/>
      <c r="I21" s="4"/>
      <c r="J21" s="4"/>
      <c r="K21" s="4"/>
      <c r="L21" s="4"/>
      <c r="Q21" s="4"/>
      <c r="R21" s="4"/>
      <c r="S21" s="4"/>
      <c r="T21" s="4"/>
      <c r="U21" s="4"/>
      <c r="V21" s="4"/>
      <c r="W21" s="4"/>
      <c r="X21" s="4"/>
      <c r="Y21" s="4"/>
      <c r="Z21" s="5"/>
      <c r="AA21" s="5"/>
      <c r="AB21" s="4"/>
      <c r="AC21" s="4"/>
      <c r="AD21" s="4"/>
      <c r="AE21" s="4"/>
      <c r="AF21" s="4"/>
      <c r="AG21" s="4"/>
      <c r="AH21" s="5"/>
      <c r="AI21" s="4"/>
      <c r="AJ21" s="4"/>
      <c r="AK21" s="4"/>
      <c r="AL21" s="4"/>
      <c r="AM21" s="4"/>
      <c r="AN21" s="4"/>
      <c r="AO21" s="4"/>
    </row>
    <row r="22" spans="7:41">
      <c r="G22" s="4"/>
      <c r="H22" s="4"/>
      <c r="I22" s="4"/>
      <c r="J22" s="4"/>
      <c r="K22" s="4"/>
      <c r="L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5"/>
      <c r="AB22" s="4"/>
      <c r="AC22" s="4"/>
      <c r="AD22" s="4"/>
      <c r="AE22" s="4"/>
      <c r="AF22" s="4"/>
      <c r="AG22" s="4"/>
      <c r="AH22" s="5"/>
      <c r="AI22" s="4"/>
      <c r="AJ22" s="4"/>
      <c r="AK22" s="4"/>
      <c r="AL22" s="4"/>
      <c r="AM22" s="4"/>
      <c r="AN22" s="4"/>
      <c r="AO22" s="4"/>
    </row>
    <row r="23" spans="7:41">
      <c r="G23" s="4"/>
      <c r="H23" s="4"/>
      <c r="I23" s="4"/>
      <c r="J23" s="4"/>
      <c r="K23" s="4"/>
      <c r="L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</row>
    <row r="24" spans="7:41">
      <c r="G24" s="4"/>
      <c r="H24" s="4"/>
      <c r="I24" s="4"/>
      <c r="J24" s="4"/>
      <c r="K24" s="4"/>
      <c r="L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5"/>
      <c r="AI24" s="5"/>
      <c r="AJ24" s="4"/>
      <c r="AK24" s="4"/>
      <c r="AL24" s="4"/>
      <c r="AM24" s="4"/>
      <c r="AN24" s="4"/>
      <c r="AO24" s="4"/>
    </row>
    <row r="25" spans="7:41" hidden="1">
      <c r="G25" s="4"/>
      <c r="H25" s="4"/>
      <c r="I25" s="4"/>
      <c r="J25" s="4"/>
      <c r="K25" s="4"/>
      <c r="L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5"/>
      <c r="AJ25" s="9"/>
      <c r="AK25" s="4"/>
      <c r="AL25" s="4"/>
      <c r="AM25" s="4"/>
      <c r="AN25" s="4"/>
      <c r="AO25" s="4"/>
    </row>
    <row r="26" spans="7:41" hidden="1">
      <c r="G26" s="4"/>
      <c r="H26" s="4"/>
      <c r="I26" s="4"/>
      <c r="J26" s="4"/>
      <c r="K26" s="4"/>
      <c r="L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</row>
    <row r="27" spans="7:41" hidden="1">
      <c r="G27" s="4"/>
      <c r="H27" s="4"/>
      <c r="I27" s="4"/>
      <c r="J27" s="4"/>
      <c r="K27" s="4"/>
      <c r="L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</row>
    <row r="28" spans="7:41" hidden="1">
      <c r="G28" s="4"/>
      <c r="H28" s="4"/>
      <c r="I28" s="4"/>
      <c r="J28" s="4"/>
      <c r="K28" s="4"/>
      <c r="L28" s="4"/>
    </row>
    <row r="29" spans="7:41" hidden="1">
      <c r="G29" s="4"/>
      <c r="H29" s="4"/>
      <c r="I29" s="4"/>
      <c r="J29" s="4"/>
      <c r="K29" s="4"/>
      <c r="L29" s="4"/>
    </row>
    <row r="30" spans="7:41" hidden="1">
      <c r="G30" s="4"/>
      <c r="H30" s="4"/>
      <c r="I30" s="4"/>
      <c r="J30" s="4"/>
      <c r="K30" s="4"/>
      <c r="L30" s="4"/>
    </row>
    <row r="31" spans="7:41" hidden="1">
      <c r="G31" s="4"/>
      <c r="H31" s="4"/>
      <c r="I31" s="4"/>
      <c r="J31" s="4"/>
      <c r="K31" s="4"/>
      <c r="L31" s="4"/>
    </row>
    <row r="32" spans="7:41" hidden="1">
      <c r="G32" s="4"/>
      <c r="H32" s="4"/>
      <c r="I32" s="4"/>
      <c r="J32" s="4"/>
      <c r="K32" s="4"/>
      <c r="L32" s="4"/>
    </row>
    <row r="33" spans="7:12" hidden="1">
      <c r="G33" s="4"/>
      <c r="H33" s="4"/>
      <c r="I33" s="4"/>
      <c r="J33" s="4"/>
      <c r="K33" s="4"/>
      <c r="L33" s="4"/>
    </row>
    <row r="34" spans="7:12" hidden="1">
      <c r="G34" s="4"/>
      <c r="H34" s="4"/>
      <c r="I34" s="4"/>
      <c r="J34" s="4"/>
      <c r="K34" s="4"/>
      <c r="L34" s="4"/>
    </row>
    <row r="35" spans="7:12" hidden="1">
      <c r="G35" s="4"/>
      <c r="H35" s="4"/>
      <c r="I35" s="31"/>
      <c r="J35" s="4"/>
      <c r="K35" s="4"/>
      <c r="L35" s="4"/>
    </row>
    <row r="36" spans="7:12" hidden="1">
      <c r="G36" s="4"/>
      <c r="H36" s="4"/>
      <c r="I36" s="10"/>
    </row>
    <row r="37" spans="7:12" hidden="1">
      <c r="I37" s="10"/>
    </row>
    <row r="38" spans="7:12" hidden="1">
      <c r="I38" s="10"/>
    </row>
    <row r="39" spans="7:12" hidden="1">
      <c r="I39" s="10"/>
    </row>
    <row r="40" spans="7:12" hidden="1">
      <c r="I40" s="10"/>
    </row>
    <row r="41" spans="7:12" hidden="1">
      <c r="I41" s="10"/>
    </row>
    <row r="42" spans="7:12" hidden="1"/>
    <row r="43" spans="7:12" hidden="1"/>
  </sheetData>
  <sheetProtection password="837D" sheet="1" objects="1" scenarios="1" formatRows="0" selectLockedCells="1"/>
  <protectedRanges>
    <protectedRange sqref="I9:I10" name="Range1"/>
    <protectedRange sqref="J9:J12" name="Range1_1"/>
  </protectedRanges>
  <mergeCells count="2">
    <mergeCell ref="I7:J7"/>
    <mergeCell ref="N15:N16"/>
  </mergeCells>
  <conditionalFormatting sqref="I13">
    <cfRule type="cellIs" dxfId="39" priority="3" stopIfTrue="1" operator="lessThan">
      <formula>120</formula>
    </cfRule>
    <cfRule type="cellIs" dxfId="38" priority="6" stopIfTrue="1" operator="equal">
      <formula>120</formula>
    </cfRule>
    <cfRule type="cellIs" dxfId="37" priority="7" stopIfTrue="1" operator="greaterThan">
      <formula>120</formula>
    </cfRule>
  </conditionalFormatting>
  <conditionalFormatting sqref="N15">
    <cfRule type="beginsWith" dxfId="36" priority="2" operator="beginsWith" text="24">
      <formula>LEFT(N15,2)="24"</formula>
    </cfRule>
  </conditionalFormatting>
  <dataValidations count="6">
    <dataValidation type="custom" allowBlank="1" showInputMessage="1" showErrorMessage="1" errorTitle="Error" error="Error" sqref="O11">
      <formula1>IF(N9&lt;7,"Less than 12 Points for Core Units")</formula1>
    </dataValidation>
    <dataValidation type="list" allowBlank="1" showInputMessage="1" showErrorMessage="1" sqref="H12">
      <formula1>OFFSET(INDIRECT(SUBSTITUTE(H5," ","_")&amp;"_Start"),0,0,COUNT(INDIRECT(SUBSTITUTE(H5," ","_")&amp;"_Col")),1)</formula1>
    </dataValidation>
    <dataValidation type="list" allowBlank="1" showInputMessage="1" showErrorMessage="1" sqref="H22">
      <formula1>IF($H$5="Information and Creative Technology",INDIRECT(SUBSTITUTE(H5," ","_")&amp;"_Optional"),VLOOKUP(H5,G21:H34,2,FALSE))</formula1>
    </dataValidation>
    <dataValidation type="list" allowBlank="1" showErrorMessage="1" errorTitle="Invalid Unit" error="You have entered an invalid unit. Please select the relevant unit from the drop down box." sqref="H11">
      <formula1>OFFSET(INDIRECT(SUBSTITUTE(H5," ","_")&amp;O14&amp;"_Start"),0,0,COUNT(INDIRECT(SUBSTITUTE(H5," ","_")&amp;O14&amp;"_Col")),1)</formula1>
    </dataValidation>
    <dataValidation type="list" allowBlank="1" showErrorMessage="1" sqref="H5">
      <formula1>Type_List</formula1>
    </dataValidation>
    <dataValidation type="list" allowBlank="1" showInputMessage="1" showErrorMessage="1" sqref="J9:J12">
      <formula1>unitgrades</formula1>
    </dataValidation>
  </dataValidations>
  <pageMargins left="0.7" right="0.7" top="0.75" bottom="0.75" header="0.3" footer="0.3"/>
  <pageSetup paperSize="9" orientation="portrait" verticalDpi="0"/>
  <ignoredErrors>
    <ignoredError sqref="N15" evalError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82"/>
  <sheetViews>
    <sheetView tabSelected="1" topLeftCell="J1" workbookViewId="0">
      <selection activeCell="P2" sqref="P2:S82"/>
    </sheetView>
  </sheetViews>
  <sheetFormatPr baseColWidth="10" defaultColWidth="8.83203125" defaultRowHeight="14" x14ac:dyDescent="0"/>
  <cols>
    <col min="1" max="1" width="39.1640625" customWidth="1"/>
    <col min="2" max="2" width="18.33203125" customWidth="1"/>
    <col min="6" max="6" width="38.83203125" customWidth="1"/>
    <col min="7" max="7" width="20.5" customWidth="1"/>
    <col min="16" max="16" width="35.5" customWidth="1"/>
    <col min="17" max="17" width="60.1640625" customWidth="1"/>
    <col min="18" max="18" width="5.6640625" customWidth="1"/>
    <col min="19" max="20" width="12.6640625" customWidth="1"/>
    <col min="22" max="22" width="44.6640625" customWidth="1"/>
  </cols>
  <sheetData>
    <row r="1" spans="1:24" s="2" customFormat="1">
      <c r="A1" s="13" t="s">
        <v>14</v>
      </c>
      <c r="B1" s="13"/>
      <c r="C1" s="13"/>
      <c r="D1" s="13"/>
      <c r="K1" s="13" t="s">
        <v>26</v>
      </c>
      <c r="L1" s="13"/>
      <c r="M1" s="13"/>
      <c r="N1" s="13"/>
      <c r="P1" s="13" t="s">
        <v>29</v>
      </c>
      <c r="Q1" s="13"/>
      <c r="R1" s="13"/>
      <c r="S1" s="13"/>
      <c r="U1" s="13" t="s">
        <v>30</v>
      </c>
      <c r="V1" s="13"/>
      <c r="W1" s="13"/>
      <c r="X1" s="13"/>
    </row>
    <row r="2" spans="1:24" s="2" customFormat="1">
      <c r="A2" s="13" t="s">
        <v>10</v>
      </c>
      <c r="B2" s="13" t="s">
        <v>13</v>
      </c>
      <c r="C2" s="13" t="s">
        <v>0</v>
      </c>
      <c r="D2" s="13"/>
      <c r="F2" s="13" t="s">
        <v>10</v>
      </c>
      <c r="G2" s="13" t="s">
        <v>13</v>
      </c>
      <c r="H2" s="13" t="s">
        <v>0</v>
      </c>
      <c r="I2" s="13"/>
      <c r="K2" s="13" t="s">
        <v>10</v>
      </c>
      <c r="L2" s="13" t="s">
        <v>13</v>
      </c>
      <c r="M2" s="13" t="s">
        <v>0</v>
      </c>
      <c r="N2" s="13"/>
      <c r="P2" s="13" t="s">
        <v>10</v>
      </c>
      <c r="Q2" s="13" t="s">
        <v>13</v>
      </c>
      <c r="R2" s="13" t="s">
        <v>0</v>
      </c>
      <c r="S2" s="13"/>
      <c r="U2" s="13" t="s">
        <v>10</v>
      </c>
      <c r="V2" s="13" t="s">
        <v>13</v>
      </c>
      <c r="W2" s="13" t="s">
        <v>0</v>
      </c>
      <c r="X2" s="13"/>
    </row>
    <row r="3" spans="1:24">
      <c r="A3" t="s">
        <v>474</v>
      </c>
      <c r="B3" t="s">
        <v>475</v>
      </c>
      <c r="C3">
        <v>30</v>
      </c>
      <c r="D3" t="s">
        <v>25</v>
      </c>
      <c r="F3" t="s">
        <v>474</v>
      </c>
      <c r="G3" t="s">
        <v>476</v>
      </c>
      <c r="H3">
        <v>30</v>
      </c>
      <c r="I3" t="s">
        <v>15</v>
      </c>
      <c r="K3" s="14" t="s">
        <v>11</v>
      </c>
      <c r="L3" s="14" t="s">
        <v>27</v>
      </c>
      <c r="M3" s="14">
        <v>30</v>
      </c>
      <c r="N3" s="14" t="s">
        <v>25</v>
      </c>
      <c r="P3" t="s">
        <v>474</v>
      </c>
      <c r="Q3" t="s">
        <v>477</v>
      </c>
      <c r="R3">
        <v>30</v>
      </c>
      <c r="S3" t="s">
        <v>15</v>
      </c>
      <c r="U3" s="14" t="s">
        <v>11</v>
      </c>
      <c r="V3" s="14" t="s">
        <v>20</v>
      </c>
      <c r="W3" s="14">
        <v>30</v>
      </c>
      <c r="X3" s="14" t="s">
        <v>15</v>
      </c>
    </row>
    <row r="4" spans="1:24">
      <c r="A4" s="30" t="s">
        <v>370</v>
      </c>
      <c r="B4" t="s">
        <v>148</v>
      </c>
      <c r="C4" s="14">
        <v>30</v>
      </c>
      <c r="D4" s="14" t="s">
        <v>15</v>
      </c>
      <c r="F4" s="30" t="s">
        <v>370</v>
      </c>
      <c r="G4" s="12" t="s">
        <v>149</v>
      </c>
      <c r="H4" s="14">
        <v>30</v>
      </c>
      <c r="I4" t="s">
        <v>15</v>
      </c>
      <c r="K4" s="14" t="s">
        <v>12</v>
      </c>
      <c r="L4" s="14" t="s">
        <v>28</v>
      </c>
      <c r="M4" s="14">
        <v>30</v>
      </c>
      <c r="N4" s="14" t="s">
        <v>25</v>
      </c>
      <c r="P4" t="s">
        <v>474</v>
      </c>
      <c r="Q4" t="s">
        <v>478</v>
      </c>
      <c r="R4">
        <v>30</v>
      </c>
      <c r="S4" t="s">
        <v>15</v>
      </c>
      <c r="U4" s="14" t="s">
        <v>11</v>
      </c>
      <c r="V4" s="14" t="s">
        <v>21</v>
      </c>
      <c r="W4" s="14">
        <v>30</v>
      </c>
      <c r="X4" s="14" t="s">
        <v>15</v>
      </c>
    </row>
    <row r="5" spans="1:24">
      <c r="A5" s="14" t="s">
        <v>50</v>
      </c>
      <c r="B5" s="14" t="s">
        <v>61</v>
      </c>
      <c r="C5" s="14">
        <v>30</v>
      </c>
      <c r="D5" s="14" t="s">
        <v>15</v>
      </c>
      <c r="F5" s="14" t="s">
        <v>50</v>
      </c>
      <c r="G5" s="14" t="s">
        <v>62</v>
      </c>
      <c r="H5" s="14">
        <v>30</v>
      </c>
      <c r="I5" s="14" t="s">
        <v>25</v>
      </c>
      <c r="K5" s="14" t="s">
        <v>57</v>
      </c>
      <c r="L5" s="14" t="s">
        <v>136</v>
      </c>
      <c r="M5" s="14">
        <v>30</v>
      </c>
      <c r="N5" s="14" t="s">
        <v>25</v>
      </c>
      <c r="P5" t="s">
        <v>474</v>
      </c>
      <c r="Q5" t="s">
        <v>479</v>
      </c>
      <c r="R5">
        <v>30</v>
      </c>
      <c r="S5" t="s">
        <v>15</v>
      </c>
      <c r="U5" s="14" t="s">
        <v>11</v>
      </c>
      <c r="V5" s="14" t="s">
        <v>22</v>
      </c>
      <c r="W5" s="14">
        <v>30</v>
      </c>
      <c r="X5" s="14" t="s">
        <v>15</v>
      </c>
    </row>
    <row r="6" spans="1:24">
      <c r="A6" s="14" t="s">
        <v>51</v>
      </c>
      <c r="B6" s="14" t="s">
        <v>63</v>
      </c>
      <c r="C6" s="14">
        <v>30</v>
      </c>
      <c r="D6" s="14" t="s">
        <v>15</v>
      </c>
      <c r="F6" s="14" t="s">
        <v>51</v>
      </c>
      <c r="G6" s="14" t="s">
        <v>64</v>
      </c>
      <c r="H6" s="14">
        <v>30</v>
      </c>
      <c r="I6" s="14" t="s">
        <v>25</v>
      </c>
      <c r="K6" s="14" t="s">
        <v>57</v>
      </c>
      <c r="L6" s="14" t="s">
        <v>137</v>
      </c>
      <c r="M6" s="14">
        <v>30</v>
      </c>
      <c r="N6" s="14" t="s">
        <v>25</v>
      </c>
      <c r="P6" s="30" t="s">
        <v>370</v>
      </c>
      <c r="Q6" s="12" t="s">
        <v>150</v>
      </c>
      <c r="R6" s="14">
        <v>30</v>
      </c>
      <c r="S6" s="14" t="s">
        <v>15</v>
      </c>
      <c r="U6" s="14" t="s">
        <v>11</v>
      </c>
      <c r="V6" s="14" t="s">
        <v>23</v>
      </c>
      <c r="W6" s="14">
        <v>30</v>
      </c>
      <c r="X6" s="14" t="s">
        <v>15</v>
      </c>
    </row>
    <row r="7" spans="1:24">
      <c r="A7" s="14" t="s">
        <v>129</v>
      </c>
      <c r="B7" s="14" t="s">
        <v>65</v>
      </c>
      <c r="C7" s="14">
        <v>30</v>
      </c>
      <c r="D7" s="14" t="s">
        <v>25</v>
      </c>
      <c r="F7" s="14" t="s">
        <v>129</v>
      </c>
      <c r="G7" s="14" t="s">
        <v>66</v>
      </c>
      <c r="H7" s="14">
        <v>30</v>
      </c>
      <c r="I7" s="14" t="s">
        <v>15</v>
      </c>
      <c r="P7" s="30" t="s">
        <v>370</v>
      </c>
      <c r="Q7" s="12" t="s">
        <v>151</v>
      </c>
      <c r="R7" s="14">
        <v>30</v>
      </c>
      <c r="S7" s="14" t="s">
        <v>25</v>
      </c>
      <c r="U7" s="14" t="s">
        <v>11</v>
      </c>
      <c r="V7" s="14" t="s">
        <v>24</v>
      </c>
      <c r="W7" s="14">
        <v>30</v>
      </c>
      <c r="X7" s="14" t="s">
        <v>15</v>
      </c>
    </row>
    <row r="8" spans="1:24">
      <c r="A8" s="14" t="s">
        <v>52</v>
      </c>
      <c r="B8" s="14" t="s">
        <v>67</v>
      </c>
      <c r="C8" s="14">
        <v>30</v>
      </c>
      <c r="D8" s="14" t="s">
        <v>25</v>
      </c>
      <c r="F8" s="14" t="s">
        <v>52</v>
      </c>
      <c r="G8" s="14" t="s">
        <v>152</v>
      </c>
      <c r="H8" s="14">
        <v>30</v>
      </c>
      <c r="I8" s="14" t="s">
        <v>15</v>
      </c>
      <c r="P8" s="14" t="s">
        <v>50</v>
      </c>
      <c r="Q8" s="14" t="s">
        <v>84</v>
      </c>
      <c r="R8" s="14">
        <v>30</v>
      </c>
      <c r="S8" s="14" t="s">
        <v>15</v>
      </c>
      <c r="U8" s="14" t="s">
        <v>11</v>
      </c>
      <c r="V8" s="14" t="s">
        <v>43</v>
      </c>
      <c r="W8" s="14">
        <v>60</v>
      </c>
      <c r="X8" s="14" t="s">
        <v>15</v>
      </c>
    </row>
    <row r="9" spans="1:24">
      <c r="A9" s="14" t="s">
        <v>53</v>
      </c>
      <c r="B9" s="14" t="s">
        <v>18</v>
      </c>
      <c r="C9" s="14">
        <v>30</v>
      </c>
      <c r="D9" s="14" t="s">
        <v>25</v>
      </c>
      <c r="F9" s="14" t="s">
        <v>53</v>
      </c>
      <c r="G9" s="14" t="s">
        <v>19</v>
      </c>
      <c r="H9" s="14">
        <v>30</v>
      </c>
      <c r="I9" s="14" t="s">
        <v>15</v>
      </c>
      <c r="P9" s="14" t="s">
        <v>50</v>
      </c>
      <c r="Q9" s="14" t="s">
        <v>85</v>
      </c>
      <c r="R9" s="14">
        <v>30</v>
      </c>
      <c r="S9" s="14" t="s">
        <v>15</v>
      </c>
      <c r="U9" s="14" t="s">
        <v>11</v>
      </c>
      <c r="V9" s="14" t="s">
        <v>44</v>
      </c>
      <c r="W9" s="14">
        <v>60</v>
      </c>
      <c r="X9" s="14" t="s">
        <v>15</v>
      </c>
    </row>
    <row r="10" spans="1:24">
      <c r="A10" s="14" t="s">
        <v>54</v>
      </c>
      <c r="B10" s="14" t="s">
        <v>68</v>
      </c>
      <c r="C10" s="14">
        <v>30</v>
      </c>
      <c r="D10" s="14" t="s">
        <v>25</v>
      </c>
      <c r="F10" s="14" t="s">
        <v>54</v>
      </c>
      <c r="G10" s="14" t="s">
        <v>69</v>
      </c>
      <c r="H10" s="14">
        <v>30</v>
      </c>
      <c r="I10" s="14" t="s">
        <v>15</v>
      </c>
      <c r="P10" s="14" t="s">
        <v>50</v>
      </c>
      <c r="Q10" s="14" t="s">
        <v>86</v>
      </c>
      <c r="R10" s="14">
        <v>30</v>
      </c>
      <c r="S10" s="14" t="s">
        <v>15</v>
      </c>
      <c r="U10" s="14" t="s">
        <v>11</v>
      </c>
      <c r="V10" s="14" t="s">
        <v>45</v>
      </c>
      <c r="W10" s="14">
        <v>60</v>
      </c>
      <c r="X10" s="14" t="s">
        <v>15</v>
      </c>
    </row>
    <row r="11" spans="1:24">
      <c r="A11" s="14" t="s">
        <v>55</v>
      </c>
      <c r="B11" s="14" t="s">
        <v>70</v>
      </c>
      <c r="C11" s="14">
        <v>30</v>
      </c>
      <c r="D11" s="14" t="s">
        <v>25</v>
      </c>
      <c r="F11" s="14" t="s">
        <v>55</v>
      </c>
      <c r="G11" s="14" t="s">
        <v>71</v>
      </c>
      <c r="H11" s="14">
        <v>30</v>
      </c>
      <c r="I11" s="14" t="s">
        <v>15</v>
      </c>
      <c r="P11" s="14" t="s">
        <v>50</v>
      </c>
      <c r="Q11" s="14" t="s">
        <v>87</v>
      </c>
      <c r="R11" s="14">
        <v>30</v>
      </c>
      <c r="S11" s="14" t="s">
        <v>15</v>
      </c>
      <c r="U11" s="14" t="s">
        <v>11</v>
      </c>
      <c r="V11" s="14" t="s">
        <v>46</v>
      </c>
      <c r="W11" s="14">
        <v>30</v>
      </c>
      <c r="X11" s="14" t="s">
        <v>15</v>
      </c>
    </row>
    <row r="12" spans="1:24">
      <c r="A12" s="14" t="s">
        <v>56</v>
      </c>
      <c r="B12" s="14" t="s">
        <v>72</v>
      </c>
      <c r="C12" s="14">
        <v>30</v>
      </c>
      <c r="D12" s="14" t="s">
        <v>25</v>
      </c>
      <c r="F12" s="14" t="s">
        <v>56</v>
      </c>
      <c r="G12" s="14" t="s">
        <v>73</v>
      </c>
      <c r="H12" s="14">
        <v>30</v>
      </c>
      <c r="I12" s="14" t="s">
        <v>15</v>
      </c>
      <c r="P12" s="14" t="s">
        <v>51</v>
      </c>
      <c r="Q12" s="14" t="s">
        <v>88</v>
      </c>
      <c r="R12" s="14">
        <v>30</v>
      </c>
      <c r="S12" s="14" t="s">
        <v>15</v>
      </c>
      <c r="U12" s="14" t="s">
        <v>11</v>
      </c>
      <c r="V12" s="14" t="s">
        <v>47</v>
      </c>
      <c r="W12" s="14">
        <v>30</v>
      </c>
      <c r="X12" s="14" t="s">
        <v>15</v>
      </c>
    </row>
    <row r="13" spans="1:24">
      <c r="A13" s="14" t="s">
        <v>12</v>
      </c>
      <c r="B13" s="14" t="s">
        <v>16</v>
      </c>
      <c r="C13" s="14">
        <v>30</v>
      </c>
      <c r="D13" s="14" t="s">
        <v>25</v>
      </c>
      <c r="F13" s="14" t="s">
        <v>57</v>
      </c>
      <c r="G13" s="14" t="s">
        <v>135</v>
      </c>
      <c r="H13" s="14">
        <v>30</v>
      </c>
      <c r="I13" s="14" t="s">
        <v>15</v>
      </c>
      <c r="P13" s="14" t="s">
        <v>51</v>
      </c>
      <c r="Q13" s="14" t="s">
        <v>89</v>
      </c>
      <c r="R13" s="14">
        <v>30</v>
      </c>
      <c r="S13" s="14" t="s">
        <v>15</v>
      </c>
      <c r="U13" s="14" t="s">
        <v>11</v>
      </c>
      <c r="V13" s="14" t="s">
        <v>48</v>
      </c>
      <c r="W13" s="14">
        <v>30</v>
      </c>
      <c r="X13" s="14" t="s">
        <v>15</v>
      </c>
    </row>
    <row r="14" spans="1:24">
      <c r="A14" s="14" t="s">
        <v>58</v>
      </c>
      <c r="B14" s="14" t="s">
        <v>74</v>
      </c>
      <c r="C14" s="14">
        <v>30</v>
      </c>
      <c r="D14" s="14" t="s">
        <v>25</v>
      </c>
      <c r="F14" s="14" t="s">
        <v>12</v>
      </c>
      <c r="G14" s="14" t="s">
        <v>17</v>
      </c>
      <c r="H14" s="14">
        <v>30</v>
      </c>
      <c r="I14" s="14" t="s">
        <v>15</v>
      </c>
      <c r="P14" s="14" t="s">
        <v>51</v>
      </c>
      <c r="Q14" s="14" t="s">
        <v>90</v>
      </c>
      <c r="R14" s="14">
        <v>30</v>
      </c>
      <c r="S14" s="14" t="s">
        <v>15</v>
      </c>
      <c r="U14" s="14" t="s">
        <v>11</v>
      </c>
      <c r="V14" s="14" t="s">
        <v>49</v>
      </c>
      <c r="W14" s="14">
        <v>30</v>
      </c>
      <c r="X14" s="14" t="s">
        <v>15</v>
      </c>
    </row>
    <row r="15" spans="1:24">
      <c r="A15" s="30" t="s">
        <v>369</v>
      </c>
      <c r="B15" s="33" t="s">
        <v>371</v>
      </c>
      <c r="C15" s="33">
        <v>30</v>
      </c>
      <c r="D15" s="33" t="s">
        <v>25</v>
      </c>
      <c r="F15" s="30" t="s">
        <v>369</v>
      </c>
      <c r="G15" s="33" t="s">
        <v>372</v>
      </c>
      <c r="H15" s="14">
        <v>30</v>
      </c>
      <c r="I15" s="14" t="s">
        <v>15</v>
      </c>
      <c r="P15" s="14" t="s">
        <v>51</v>
      </c>
      <c r="Q15" s="14" t="s">
        <v>91</v>
      </c>
      <c r="R15" s="14">
        <v>30</v>
      </c>
      <c r="S15" s="14" t="s">
        <v>15</v>
      </c>
      <c r="U15" s="14" t="s">
        <v>12</v>
      </c>
      <c r="V15" s="14" t="s">
        <v>31</v>
      </c>
      <c r="W15" s="14">
        <v>30</v>
      </c>
      <c r="X15" s="14" t="s">
        <v>15</v>
      </c>
    </row>
    <row r="16" spans="1:24">
      <c r="A16" s="33" t="s">
        <v>168</v>
      </c>
      <c r="B16" t="s">
        <v>170</v>
      </c>
      <c r="C16" s="14">
        <v>30</v>
      </c>
      <c r="D16" s="14" t="s">
        <v>25</v>
      </c>
      <c r="F16" s="14" t="s">
        <v>58</v>
      </c>
      <c r="G16" s="14" t="s">
        <v>75</v>
      </c>
      <c r="H16" s="14">
        <v>30</v>
      </c>
      <c r="I16" s="14" t="s">
        <v>15</v>
      </c>
      <c r="P16" s="14" t="s">
        <v>51</v>
      </c>
      <c r="Q16" s="14" t="s">
        <v>92</v>
      </c>
      <c r="R16" s="14">
        <v>30</v>
      </c>
      <c r="S16" s="14" t="s">
        <v>15</v>
      </c>
      <c r="U16" s="14" t="s">
        <v>12</v>
      </c>
      <c r="V16" s="14" t="s">
        <v>32</v>
      </c>
      <c r="W16" s="14">
        <v>30</v>
      </c>
      <c r="X16" s="14" t="s">
        <v>15</v>
      </c>
    </row>
    <row r="17" spans="1:24">
      <c r="A17" s="14" t="s">
        <v>59</v>
      </c>
      <c r="B17" s="14" t="s">
        <v>76</v>
      </c>
      <c r="C17" s="14">
        <v>30</v>
      </c>
      <c r="D17" s="14" t="s">
        <v>25</v>
      </c>
      <c r="F17" s="14" t="s">
        <v>168</v>
      </c>
      <c r="G17" t="s">
        <v>169</v>
      </c>
      <c r="H17" s="14">
        <v>30</v>
      </c>
      <c r="I17" s="14" t="s">
        <v>15</v>
      </c>
      <c r="P17" s="14" t="s">
        <v>51</v>
      </c>
      <c r="Q17" s="14" t="s">
        <v>93</v>
      </c>
      <c r="R17" s="14">
        <v>30</v>
      </c>
      <c r="S17" s="14" t="s">
        <v>15</v>
      </c>
      <c r="U17" s="14" t="s">
        <v>12</v>
      </c>
      <c r="V17" s="14" t="s">
        <v>33</v>
      </c>
      <c r="W17" s="14">
        <v>30</v>
      </c>
      <c r="X17" s="14" t="s">
        <v>15</v>
      </c>
    </row>
    <row r="18" spans="1:24">
      <c r="A18" s="14" t="s">
        <v>60</v>
      </c>
      <c r="B18" s="14" t="s">
        <v>78</v>
      </c>
      <c r="C18" s="14">
        <v>30</v>
      </c>
      <c r="D18" s="14" t="s">
        <v>25</v>
      </c>
      <c r="F18" s="14" t="s">
        <v>59</v>
      </c>
      <c r="G18" s="14" t="s">
        <v>77</v>
      </c>
      <c r="H18" s="14">
        <v>30</v>
      </c>
      <c r="I18" s="14" t="s">
        <v>15</v>
      </c>
      <c r="P18" s="14" t="s">
        <v>129</v>
      </c>
      <c r="Q18" s="14" t="s">
        <v>94</v>
      </c>
      <c r="R18" s="14">
        <v>60</v>
      </c>
      <c r="S18" s="14" t="s">
        <v>15</v>
      </c>
      <c r="U18" s="14" t="s">
        <v>12</v>
      </c>
      <c r="V18" s="14" t="s">
        <v>34</v>
      </c>
      <c r="W18" s="14">
        <v>30</v>
      </c>
      <c r="X18" s="14" t="s">
        <v>15</v>
      </c>
    </row>
    <row r="19" spans="1:24">
      <c r="A19" s="23" t="s">
        <v>57</v>
      </c>
      <c r="B19" s="23" t="s">
        <v>167</v>
      </c>
      <c r="C19" s="23">
        <v>30</v>
      </c>
      <c r="D19" s="23" t="s">
        <v>25</v>
      </c>
      <c r="F19" s="14" t="s">
        <v>60</v>
      </c>
      <c r="G19" s="14" t="s">
        <v>79</v>
      </c>
      <c r="H19" s="14">
        <v>30</v>
      </c>
      <c r="I19" s="14" t="s">
        <v>15</v>
      </c>
      <c r="P19" s="14" t="s">
        <v>52</v>
      </c>
      <c r="Q19" s="15" t="s">
        <v>95</v>
      </c>
      <c r="R19" s="14">
        <v>30</v>
      </c>
      <c r="S19" s="14" t="s">
        <v>15</v>
      </c>
      <c r="U19" s="14" t="s">
        <v>12</v>
      </c>
      <c r="V19" s="14" t="s">
        <v>35</v>
      </c>
      <c r="W19" s="14">
        <v>30</v>
      </c>
      <c r="X19" s="14" t="s">
        <v>15</v>
      </c>
    </row>
    <row r="20" spans="1:24">
      <c r="P20" s="14" t="s">
        <v>52</v>
      </c>
      <c r="Q20" s="14" t="s">
        <v>96</v>
      </c>
      <c r="R20" s="14">
        <v>30</v>
      </c>
      <c r="S20" s="14" t="s">
        <v>15</v>
      </c>
      <c r="U20" s="14" t="s">
        <v>12</v>
      </c>
      <c r="V20" s="14" t="s">
        <v>36</v>
      </c>
      <c r="W20" s="14">
        <v>30</v>
      </c>
      <c r="X20" s="14" t="s">
        <v>15</v>
      </c>
    </row>
    <row r="21" spans="1:24">
      <c r="P21" s="14" t="s">
        <v>52</v>
      </c>
      <c r="Q21" s="14" t="s">
        <v>133</v>
      </c>
      <c r="R21" s="14">
        <v>30</v>
      </c>
      <c r="S21" s="14" t="s">
        <v>15</v>
      </c>
      <c r="U21" s="14" t="s">
        <v>12</v>
      </c>
      <c r="V21" s="14" t="s">
        <v>37</v>
      </c>
      <c r="W21" s="14">
        <v>30</v>
      </c>
      <c r="X21" s="14" t="s">
        <v>15</v>
      </c>
    </row>
    <row r="22" spans="1:24">
      <c r="A22" t="s">
        <v>7</v>
      </c>
      <c r="P22" s="14" t="s">
        <v>52</v>
      </c>
      <c r="Q22" s="14" t="s">
        <v>97</v>
      </c>
      <c r="R22" s="14">
        <v>30</v>
      </c>
      <c r="S22" s="14" t="s">
        <v>15</v>
      </c>
      <c r="U22" s="14" t="s">
        <v>12</v>
      </c>
      <c r="V22" s="14" t="s">
        <v>38</v>
      </c>
      <c r="W22" s="14">
        <v>60</v>
      </c>
      <c r="X22" s="14" t="s">
        <v>15</v>
      </c>
    </row>
    <row r="23" spans="1:24">
      <c r="A23" t="s">
        <v>4</v>
      </c>
      <c r="P23" s="14" t="s">
        <v>52</v>
      </c>
      <c r="Q23" s="14" t="s">
        <v>98</v>
      </c>
      <c r="R23" s="14">
        <v>30</v>
      </c>
      <c r="S23" s="14" t="s">
        <v>15</v>
      </c>
      <c r="U23" s="14" t="s">
        <v>12</v>
      </c>
      <c r="V23" s="14" t="s">
        <v>39</v>
      </c>
      <c r="W23" s="14">
        <v>60</v>
      </c>
      <c r="X23" s="14" t="s">
        <v>15</v>
      </c>
    </row>
    <row r="24" spans="1:24">
      <c r="A24" t="s">
        <v>2</v>
      </c>
      <c r="F24" s="14" t="s">
        <v>57</v>
      </c>
      <c r="G24" s="14" t="s">
        <v>165</v>
      </c>
      <c r="H24" s="14">
        <v>30</v>
      </c>
      <c r="I24" s="14" t="s">
        <v>15</v>
      </c>
      <c r="P24" s="14" t="s">
        <v>52</v>
      </c>
      <c r="Q24" s="14" t="s">
        <v>99</v>
      </c>
      <c r="R24" s="14">
        <v>30</v>
      </c>
      <c r="S24" s="14" t="s">
        <v>15</v>
      </c>
      <c r="U24" s="14" t="s">
        <v>12</v>
      </c>
      <c r="V24" s="14" t="s">
        <v>40</v>
      </c>
      <c r="W24" s="14">
        <v>60</v>
      </c>
      <c r="X24" s="14" t="s">
        <v>15</v>
      </c>
    </row>
    <row r="25" spans="1:24">
      <c r="A25" t="s">
        <v>5</v>
      </c>
      <c r="F25" s="14" t="s">
        <v>57</v>
      </c>
      <c r="G25" s="14" t="s">
        <v>166</v>
      </c>
      <c r="H25" s="14">
        <v>30</v>
      </c>
      <c r="I25" s="14" t="s">
        <v>15</v>
      </c>
      <c r="P25" s="14" t="s">
        <v>52</v>
      </c>
      <c r="Q25" s="14" t="s">
        <v>100</v>
      </c>
      <c r="R25" s="14">
        <v>30</v>
      </c>
      <c r="S25" s="14" t="s">
        <v>15</v>
      </c>
      <c r="U25" s="14" t="s">
        <v>12</v>
      </c>
      <c r="V25" s="14" t="s">
        <v>41</v>
      </c>
      <c r="W25" s="14">
        <v>60</v>
      </c>
      <c r="X25" s="14" t="s">
        <v>15</v>
      </c>
    </row>
    <row r="26" spans="1:24">
      <c r="A26" t="s">
        <v>6</v>
      </c>
      <c r="P26" s="14" t="s">
        <v>52</v>
      </c>
      <c r="Q26" s="14" t="s">
        <v>101</v>
      </c>
      <c r="R26" s="14">
        <v>30</v>
      </c>
      <c r="S26" s="14" t="s">
        <v>15</v>
      </c>
      <c r="U26" s="14" t="s">
        <v>12</v>
      </c>
      <c r="V26" s="14" t="s">
        <v>42</v>
      </c>
      <c r="W26" s="14">
        <v>60</v>
      </c>
      <c r="X26" s="14" t="s">
        <v>15</v>
      </c>
    </row>
    <row r="27" spans="1:24">
      <c r="P27" s="14" t="s">
        <v>53</v>
      </c>
      <c r="Q27" s="14" t="s">
        <v>20</v>
      </c>
      <c r="R27" s="14">
        <v>30</v>
      </c>
      <c r="S27" s="14" t="s">
        <v>15</v>
      </c>
    </row>
    <row r="28" spans="1:24">
      <c r="P28" s="14" t="s">
        <v>53</v>
      </c>
      <c r="Q28" s="14" t="s">
        <v>21</v>
      </c>
      <c r="R28" s="14">
        <v>30</v>
      </c>
      <c r="S28" s="14" t="s">
        <v>15</v>
      </c>
    </row>
    <row r="29" spans="1:24">
      <c r="C29" s="14"/>
      <c r="D29" s="14"/>
      <c r="P29" s="14" t="s">
        <v>53</v>
      </c>
      <c r="Q29" s="14" t="s">
        <v>22</v>
      </c>
      <c r="R29" s="14">
        <v>30</v>
      </c>
      <c r="S29" s="14" t="s">
        <v>15</v>
      </c>
    </row>
    <row r="30" spans="1:24">
      <c r="P30" s="14" t="s">
        <v>53</v>
      </c>
      <c r="Q30" s="14" t="s">
        <v>23</v>
      </c>
      <c r="R30" s="14">
        <v>30</v>
      </c>
      <c r="S30" s="14" t="s">
        <v>15</v>
      </c>
    </row>
    <row r="31" spans="1:24">
      <c r="P31" s="14" t="s">
        <v>53</v>
      </c>
      <c r="Q31" s="14" t="s">
        <v>24</v>
      </c>
      <c r="R31" s="14">
        <v>30</v>
      </c>
      <c r="S31" s="14" t="s">
        <v>15</v>
      </c>
    </row>
    <row r="32" spans="1:24">
      <c r="P32" s="14" t="s">
        <v>54</v>
      </c>
      <c r="Q32" s="14" t="s">
        <v>102</v>
      </c>
      <c r="R32" s="14">
        <v>30</v>
      </c>
      <c r="S32" s="14" t="s">
        <v>15</v>
      </c>
    </row>
    <row r="33" spans="16:19">
      <c r="P33" s="14" t="s">
        <v>54</v>
      </c>
      <c r="Q33" s="14" t="s">
        <v>103</v>
      </c>
      <c r="R33" s="14">
        <v>30</v>
      </c>
      <c r="S33" s="14" t="s">
        <v>15</v>
      </c>
    </row>
    <row r="34" spans="16:19">
      <c r="P34" s="14" t="s">
        <v>54</v>
      </c>
      <c r="Q34" s="14" t="s">
        <v>104</v>
      </c>
      <c r="R34" s="14">
        <v>30</v>
      </c>
      <c r="S34" s="14" t="s">
        <v>15</v>
      </c>
    </row>
    <row r="35" spans="16:19">
      <c r="P35" s="14" t="s">
        <v>54</v>
      </c>
      <c r="Q35" s="14" t="s">
        <v>105</v>
      </c>
      <c r="R35" s="14">
        <v>30</v>
      </c>
      <c r="S35" s="14" t="s">
        <v>15</v>
      </c>
    </row>
    <row r="36" spans="16:19">
      <c r="P36" s="14" t="s">
        <v>54</v>
      </c>
      <c r="Q36" s="14" t="s">
        <v>106</v>
      </c>
      <c r="R36" s="14">
        <v>60</v>
      </c>
      <c r="S36" s="14" t="s">
        <v>15</v>
      </c>
    </row>
    <row r="37" spans="16:19">
      <c r="P37" s="14" t="s">
        <v>54</v>
      </c>
      <c r="Q37" s="14" t="s">
        <v>107</v>
      </c>
      <c r="R37" s="14">
        <v>60</v>
      </c>
      <c r="S37" s="14" t="s">
        <v>15</v>
      </c>
    </row>
    <row r="38" spans="16:19">
      <c r="P38" s="14" t="s">
        <v>55</v>
      </c>
      <c r="Q38" s="14" t="s">
        <v>108</v>
      </c>
      <c r="R38" s="14">
        <v>30</v>
      </c>
      <c r="S38" s="14" t="s">
        <v>15</v>
      </c>
    </row>
    <row r="39" spans="16:19">
      <c r="P39" s="14" t="s">
        <v>55</v>
      </c>
      <c r="Q39" s="14" t="s">
        <v>109</v>
      </c>
      <c r="R39" s="14">
        <v>30</v>
      </c>
      <c r="S39" s="14" t="s">
        <v>15</v>
      </c>
    </row>
    <row r="40" spans="16:19">
      <c r="P40" s="14" t="s">
        <v>55</v>
      </c>
      <c r="Q40" s="14" t="s">
        <v>110</v>
      </c>
      <c r="R40" s="14">
        <v>30</v>
      </c>
      <c r="S40" s="14" t="s">
        <v>15</v>
      </c>
    </row>
    <row r="41" spans="16:19">
      <c r="P41" s="14" t="s">
        <v>55</v>
      </c>
      <c r="Q41" s="14" t="s">
        <v>111</v>
      </c>
      <c r="R41" s="14">
        <v>30</v>
      </c>
      <c r="S41" s="14" t="s">
        <v>15</v>
      </c>
    </row>
    <row r="42" spans="16:19">
      <c r="P42" s="14" t="s">
        <v>55</v>
      </c>
      <c r="Q42" s="14" t="s">
        <v>112</v>
      </c>
      <c r="R42" s="14">
        <v>30</v>
      </c>
      <c r="S42" s="14" t="s">
        <v>15</v>
      </c>
    </row>
    <row r="43" spans="16:19">
      <c r="P43" s="14" t="s">
        <v>55</v>
      </c>
      <c r="Q43" s="14" t="s">
        <v>113</v>
      </c>
      <c r="R43" s="14">
        <v>30</v>
      </c>
      <c r="S43" s="14" t="s">
        <v>15</v>
      </c>
    </row>
    <row r="44" spans="16:19">
      <c r="P44" s="14" t="s">
        <v>56</v>
      </c>
      <c r="Q44" s="14" t="s">
        <v>114</v>
      </c>
      <c r="R44" s="14">
        <v>30</v>
      </c>
      <c r="S44" s="14" t="s">
        <v>15</v>
      </c>
    </row>
    <row r="45" spans="16:19">
      <c r="P45" s="14" t="s">
        <v>56</v>
      </c>
      <c r="Q45" s="14" t="s">
        <v>115</v>
      </c>
      <c r="R45" s="14">
        <v>30</v>
      </c>
      <c r="S45" s="14" t="s">
        <v>15</v>
      </c>
    </row>
    <row r="46" spans="16:19">
      <c r="P46" s="14" t="s">
        <v>56</v>
      </c>
      <c r="Q46" s="14" t="s">
        <v>116</v>
      </c>
      <c r="R46" s="14">
        <v>30</v>
      </c>
      <c r="S46" s="14" t="s">
        <v>15</v>
      </c>
    </row>
    <row r="47" spans="16:19">
      <c r="P47" s="14" t="s">
        <v>56</v>
      </c>
      <c r="Q47" s="14" t="s">
        <v>117</v>
      </c>
      <c r="R47" s="14">
        <v>30</v>
      </c>
      <c r="S47" s="14" t="s">
        <v>15</v>
      </c>
    </row>
    <row r="48" spans="16:19">
      <c r="P48" s="14" t="s">
        <v>56</v>
      </c>
      <c r="Q48" s="14" t="s">
        <v>118</v>
      </c>
      <c r="R48" s="14">
        <v>30</v>
      </c>
      <c r="S48" s="14" t="s">
        <v>15</v>
      </c>
    </row>
    <row r="49" spans="16:19">
      <c r="P49" s="14" t="s">
        <v>56</v>
      </c>
      <c r="Q49" s="14" t="s">
        <v>119</v>
      </c>
      <c r="R49" s="14">
        <v>30</v>
      </c>
      <c r="S49" s="14" t="s">
        <v>15</v>
      </c>
    </row>
    <row r="50" spans="16:19">
      <c r="P50" s="14" t="s">
        <v>57</v>
      </c>
      <c r="Q50" s="14" t="s">
        <v>253</v>
      </c>
      <c r="R50" s="14">
        <v>30</v>
      </c>
      <c r="S50" s="14" t="s">
        <v>15</v>
      </c>
    </row>
    <row r="51" spans="16:19">
      <c r="P51" s="14" t="s">
        <v>57</v>
      </c>
      <c r="Q51" s="14" t="s">
        <v>140</v>
      </c>
      <c r="R51" s="23">
        <v>30</v>
      </c>
      <c r="S51" s="14" t="s">
        <v>15</v>
      </c>
    </row>
    <row r="52" spans="16:19">
      <c r="P52" s="14" t="s">
        <v>57</v>
      </c>
      <c r="Q52" s="14" t="s">
        <v>141</v>
      </c>
      <c r="R52" s="23">
        <v>30</v>
      </c>
      <c r="S52" s="14" t="s">
        <v>15</v>
      </c>
    </row>
    <row r="53" spans="16:19">
      <c r="P53" s="14" t="s">
        <v>57</v>
      </c>
      <c r="Q53" s="14" t="s">
        <v>142</v>
      </c>
      <c r="R53" s="23">
        <v>30</v>
      </c>
      <c r="S53" s="14" t="s">
        <v>15</v>
      </c>
    </row>
    <row r="54" spans="16:19">
      <c r="P54" s="14" t="s">
        <v>57</v>
      </c>
      <c r="Q54" s="14" t="s">
        <v>290</v>
      </c>
      <c r="R54" s="23">
        <v>30</v>
      </c>
      <c r="S54" s="14" t="s">
        <v>15</v>
      </c>
    </row>
    <row r="55" spans="16:19">
      <c r="P55" s="14" t="s">
        <v>57</v>
      </c>
      <c r="Q55" s="14" t="s">
        <v>143</v>
      </c>
      <c r="R55" s="23">
        <v>30</v>
      </c>
      <c r="S55" s="14" t="s">
        <v>15</v>
      </c>
    </row>
    <row r="56" spans="16:19">
      <c r="P56" s="14" t="s">
        <v>57</v>
      </c>
      <c r="Q56" s="23" t="s">
        <v>306</v>
      </c>
      <c r="R56" s="14">
        <v>60</v>
      </c>
      <c r="S56" s="14" t="s">
        <v>15</v>
      </c>
    </row>
    <row r="57" spans="16:19">
      <c r="P57" s="14" t="s">
        <v>57</v>
      </c>
      <c r="Q57" s="23" t="s">
        <v>144</v>
      </c>
      <c r="R57" s="14">
        <v>60</v>
      </c>
      <c r="S57" s="14" t="s">
        <v>15</v>
      </c>
    </row>
    <row r="58" spans="16:19">
      <c r="P58" s="14" t="s">
        <v>57</v>
      </c>
      <c r="Q58" s="23" t="s">
        <v>316</v>
      </c>
      <c r="R58" s="14">
        <v>60</v>
      </c>
      <c r="S58" s="14" t="s">
        <v>15</v>
      </c>
    </row>
    <row r="59" spans="16:19">
      <c r="P59" s="14" t="s">
        <v>57</v>
      </c>
      <c r="Q59" s="23" t="s">
        <v>145</v>
      </c>
      <c r="R59" s="14">
        <v>60</v>
      </c>
      <c r="S59" s="14" t="s">
        <v>15</v>
      </c>
    </row>
    <row r="60" spans="16:19">
      <c r="P60" s="14" t="s">
        <v>12</v>
      </c>
      <c r="Q60" s="14" t="s">
        <v>31</v>
      </c>
      <c r="R60" s="14">
        <v>30</v>
      </c>
      <c r="S60" s="14" t="s">
        <v>15</v>
      </c>
    </row>
    <row r="61" spans="16:19">
      <c r="P61" s="14" t="s">
        <v>12</v>
      </c>
      <c r="Q61" s="14" t="s">
        <v>32</v>
      </c>
      <c r="R61" s="14">
        <v>30</v>
      </c>
      <c r="S61" s="14" t="s">
        <v>15</v>
      </c>
    </row>
    <row r="62" spans="16:19">
      <c r="P62" s="14" t="s">
        <v>12</v>
      </c>
      <c r="Q62" s="14" t="s">
        <v>33</v>
      </c>
      <c r="R62" s="14">
        <v>30</v>
      </c>
      <c r="S62" s="14" t="s">
        <v>15</v>
      </c>
    </row>
    <row r="63" spans="16:19">
      <c r="P63" s="14" t="s">
        <v>12</v>
      </c>
      <c r="Q63" s="14" t="s">
        <v>34</v>
      </c>
      <c r="R63" s="14">
        <v>30</v>
      </c>
      <c r="S63" s="14" t="s">
        <v>15</v>
      </c>
    </row>
    <row r="64" spans="16:19">
      <c r="P64" s="14" t="s">
        <v>12</v>
      </c>
      <c r="Q64" s="14" t="s">
        <v>35</v>
      </c>
      <c r="R64" s="14">
        <v>30</v>
      </c>
      <c r="S64" s="14" t="s">
        <v>15</v>
      </c>
    </row>
    <row r="65" spans="16:19">
      <c r="P65" s="14" t="s">
        <v>58</v>
      </c>
      <c r="Q65" s="14" t="s">
        <v>120</v>
      </c>
      <c r="R65" s="14">
        <v>60</v>
      </c>
      <c r="S65" s="14" t="s">
        <v>15</v>
      </c>
    </row>
    <row r="66" spans="16:19">
      <c r="P66" s="14" t="s">
        <v>58</v>
      </c>
      <c r="Q66" s="14" t="s">
        <v>121</v>
      </c>
      <c r="R66" s="14">
        <v>60</v>
      </c>
      <c r="S66" s="14" t="s">
        <v>15</v>
      </c>
    </row>
    <row r="67" spans="16:19">
      <c r="P67" s="14" t="s">
        <v>58</v>
      </c>
      <c r="Q67" s="14" t="s">
        <v>122</v>
      </c>
      <c r="R67" s="14">
        <v>60</v>
      </c>
      <c r="S67" s="14" t="s">
        <v>15</v>
      </c>
    </row>
    <row r="68" spans="16:19">
      <c r="P68" s="14" t="s">
        <v>58</v>
      </c>
      <c r="Q68" s="14" t="s">
        <v>123</v>
      </c>
      <c r="R68" s="14">
        <v>60</v>
      </c>
      <c r="S68" s="14" t="s">
        <v>15</v>
      </c>
    </row>
    <row r="69" spans="16:19">
      <c r="P69" s="14" t="s">
        <v>58</v>
      </c>
      <c r="Q69" s="14" t="s">
        <v>124</v>
      </c>
      <c r="R69" s="14">
        <v>60</v>
      </c>
      <c r="S69" s="14" t="s">
        <v>15</v>
      </c>
    </row>
    <row r="70" spans="16:19">
      <c r="P70" s="30" t="s">
        <v>369</v>
      </c>
      <c r="Q70" s="33" t="s">
        <v>373</v>
      </c>
      <c r="R70" s="33">
        <v>30</v>
      </c>
      <c r="S70" s="33" t="s">
        <v>15</v>
      </c>
    </row>
    <row r="71" spans="16:19">
      <c r="P71" s="30" t="s">
        <v>369</v>
      </c>
      <c r="Q71" s="33" t="s">
        <v>374</v>
      </c>
      <c r="R71" s="33">
        <v>30</v>
      </c>
      <c r="S71" s="33" t="s">
        <v>15</v>
      </c>
    </row>
    <row r="72" spans="16:19">
      <c r="P72" s="23" t="s">
        <v>168</v>
      </c>
      <c r="Q72" s="14" t="s">
        <v>171</v>
      </c>
      <c r="R72" s="14">
        <v>30</v>
      </c>
      <c r="S72" s="14" t="s">
        <v>15</v>
      </c>
    </row>
    <row r="73" spans="16:19">
      <c r="P73" s="23" t="s">
        <v>168</v>
      </c>
      <c r="Q73" s="14" t="s">
        <v>172</v>
      </c>
      <c r="R73" s="14">
        <v>30</v>
      </c>
      <c r="S73" s="14" t="s">
        <v>15</v>
      </c>
    </row>
    <row r="74" spans="16:19">
      <c r="P74" s="23" t="s">
        <v>168</v>
      </c>
      <c r="Q74" s="14" t="s">
        <v>173</v>
      </c>
      <c r="R74" s="14">
        <v>30</v>
      </c>
      <c r="S74" s="14" t="s">
        <v>15</v>
      </c>
    </row>
    <row r="75" spans="16:19">
      <c r="P75" s="14" t="s">
        <v>59</v>
      </c>
      <c r="Q75" s="14" t="s">
        <v>125</v>
      </c>
      <c r="R75" s="14">
        <v>30</v>
      </c>
      <c r="S75" s="14" t="s">
        <v>15</v>
      </c>
    </row>
    <row r="76" spans="16:19">
      <c r="P76" s="14" t="s">
        <v>59</v>
      </c>
      <c r="Q76" s="14" t="s">
        <v>126</v>
      </c>
      <c r="R76" s="14">
        <v>30</v>
      </c>
      <c r="S76" s="14" t="s">
        <v>15</v>
      </c>
    </row>
    <row r="77" spans="16:19">
      <c r="P77" s="14" t="s">
        <v>59</v>
      </c>
      <c r="Q77" s="14" t="s">
        <v>127</v>
      </c>
      <c r="R77" s="14">
        <v>30</v>
      </c>
      <c r="S77" s="14" t="s">
        <v>15</v>
      </c>
    </row>
    <row r="78" spans="16:19">
      <c r="P78" s="14" t="s">
        <v>59</v>
      </c>
      <c r="Q78" s="14" t="s">
        <v>128</v>
      </c>
      <c r="R78" s="14">
        <v>30</v>
      </c>
      <c r="S78" s="14" t="s">
        <v>15</v>
      </c>
    </row>
    <row r="79" spans="16:19">
      <c r="P79" s="14" t="s">
        <v>60</v>
      </c>
      <c r="Q79" s="14" t="s">
        <v>80</v>
      </c>
      <c r="R79" s="14">
        <v>30</v>
      </c>
      <c r="S79" s="14" t="s">
        <v>15</v>
      </c>
    </row>
    <row r="80" spans="16:19">
      <c r="P80" s="14" t="s">
        <v>60</v>
      </c>
      <c r="Q80" s="14" t="s">
        <v>81</v>
      </c>
      <c r="R80" s="14">
        <v>30</v>
      </c>
      <c r="S80" s="14" t="s">
        <v>15</v>
      </c>
    </row>
    <row r="81" spans="16:19">
      <c r="P81" s="14" t="s">
        <v>60</v>
      </c>
      <c r="Q81" s="14" t="s">
        <v>82</v>
      </c>
      <c r="R81" s="14">
        <v>30</v>
      </c>
      <c r="S81" s="14" t="s">
        <v>15</v>
      </c>
    </row>
    <row r="82" spans="16:19">
      <c r="P82" s="14" t="s">
        <v>60</v>
      </c>
      <c r="Q82" s="14" t="s">
        <v>83</v>
      </c>
      <c r="R82" s="14">
        <v>30</v>
      </c>
      <c r="S82" s="14" t="s">
        <v>15</v>
      </c>
    </row>
  </sheetData>
  <sheetProtection selectLockedCells="1" selectUnlockedCells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E26"/>
  <sheetViews>
    <sheetView topLeftCell="BU1" workbookViewId="0">
      <selection activeCell="CD2" sqref="CD2"/>
    </sheetView>
  </sheetViews>
  <sheetFormatPr baseColWidth="10" defaultColWidth="8.83203125" defaultRowHeight="12" x14ac:dyDescent="0"/>
  <cols>
    <col min="1" max="7" width="8.83203125" style="17"/>
    <col min="8" max="8" width="4.5" style="17" customWidth="1"/>
    <col min="9" max="12" width="8.83203125" style="17"/>
    <col min="13" max="13" width="8.83203125" style="17" customWidth="1"/>
    <col min="14" max="16384" width="8.83203125" style="17"/>
  </cols>
  <sheetData>
    <row r="1" spans="1:83" s="18" customFormat="1" ht="24" customHeight="1">
      <c r="A1" s="18" t="s">
        <v>50</v>
      </c>
      <c r="E1" s="21" t="s">
        <v>51</v>
      </c>
      <c r="F1" s="21"/>
      <c r="G1" s="21"/>
      <c r="I1" s="18" t="s">
        <v>129</v>
      </c>
      <c r="M1" s="18" t="s">
        <v>130</v>
      </c>
      <c r="Q1" s="18" t="s">
        <v>131</v>
      </c>
      <c r="U1" s="21" t="s">
        <v>54</v>
      </c>
      <c r="V1" s="21"/>
      <c r="W1" s="21"/>
      <c r="Y1" s="18" t="s">
        <v>132</v>
      </c>
      <c r="AC1" s="18" t="s">
        <v>56</v>
      </c>
      <c r="AG1" s="18" t="s">
        <v>139</v>
      </c>
      <c r="AK1" s="18" t="s">
        <v>138</v>
      </c>
      <c r="AO1" s="21" t="s">
        <v>12</v>
      </c>
      <c r="AP1" s="21"/>
      <c r="AQ1" s="21"/>
      <c r="AS1" s="18" t="s">
        <v>58</v>
      </c>
      <c r="AW1" s="18" t="s">
        <v>59</v>
      </c>
      <c r="BA1" s="18" t="s">
        <v>60</v>
      </c>
      <c r="BE1" s="18" t="s">
        <v>146</v>
      </c>
      <c r="BI1" s="18" t="s">
        <v>168</v>
      </c>
      <c r="BM1" s="18" t="s">
        <v>369</v>
      </c>
      <c r="BQ1" s="18" t="s">
        <v>138</v>
      </c>
      <c r="BY1" s="18" t="s">
        <v>378</v>
      </c>
      <c r="CC1" s="18" t="s">
        <v>474</v>
      </c>
    </row>
    <row r="2" spans="1:83" ht="15" customHeight="1">
      <c r="A2" s="14" t="s">
        <v>84</v>
      </c>
      <c r="B2" s="17">
        <f>IF(COUNTIF(Award!H11:H12,A2)&gt;=1,"",ROW())</f>
        <v>2</v>
      </c>
      <c r="C2" s="17" t="str">
        <f>IF(ROW(A2)-ROW(A$2)+1&gt;COUNT(B$2:B$5),"",INDEX(A:A,SMALL(B$2:B$5,1+ROW(A2)-ROW(A$2))))</f>
        <v>Unit 3 - Communicating Ideas in 2D</v>
      </c>
      <c r="E2" s="14" t="s">
        <v>88</v>
      </c>
      <c r="F2" s="19">
        <f>IF(COUNTIF(Award!H11:H12,E2)&gt;=1,"",ROW())</f>
        <v>2</v>
      </c>
      <c r="G2" s="20" t="str">
        <f t="shared" ref="G2:G7" si="0">IF(ROW(E2)-ROW($E$2)+1&gt;COUNT(F$2:F$7),"",INDEX(E:E,SMALL(F$2:F$7,1+ROW(E2)-ROW($E$2))))</f>
        <v>Unit 3 - Promoting a Brand</v>
      </c>
      <c r="I2" s="14" t="s">
        <v>94</v>
      </c>
      <c r="J2" s="19">
        <f>IF(COUNTIF(Award!H11:H12,I2)&gt;=1,"",ROW())</f>
        <v>2</v>
      </c>
      <c r="K2" s="20" t="str">
        <f>IF(ROW(I2)-ROW(I$2)+1&gt;COUNT(J$2:J$7),"",INDEX(I:I,SMALL(J$2:J$7,1+ROW(I2)-ROW(I$2))))</f>
        <v>Unit 3 - The Principles of Early Years Practice</v>
      </c>
      <c r="M2" s="14" t="s">
        <v>96</v>
      </c>
      <c r="N2" s="19">
        <f>IF(COUNTIF(Award!$H$11:$H$12,M2)&gt;=1,"",ROW())</f>
        <v>2</v>
      </c>
      <c r="O2" s="20" t="str">
        <f t="shared" ref="O2:O8" si="1">IF(ROW(M2)-ROW(M$2)+1&gt;COUNT(N$2:N$8),"",INDEX(M:M,SMALL(N$2:N$8,1+ROW(M2)-ROW(M$2))))</f>
        <v>Unit 4 - Construction Processes and Operations</v>
      </c>
      <c r="Q2" s="14" t="s">
        <v>20</v>
      </c>
      <c r="R2" s="19">
        <f>IF(COUNTIF(Award!$H$11:$H$12,Q2)&gt;=1,"",ROW())</f>
        <v>2</v>
      </c>
      <c r="S2" s="20" t="str">
        <f>IF(ROW(Q2)-ROW(Q$2)+1&gt;COUNT(R$2:R$7),"",INDEX(Q:Q,SMALL(R$2:R$7,1+ROW(Q2)-ROW(Q$2))))</f>
        <v>Unit 3 - Digital Moving Image Production</v>
      </c>
      <c r="U2" s="14" t="s">
        <v>102</v>
      </c>
      <c r="V2" s="19">
        <f>IF(COUNTIF(Award!$H$11:$H$12,U2)&gt;=1,"",ROW())</f>
        <v>2</v>
      </c>
      <c r="W2" s="20" t="str">
        <f t="shared" ref="W2:W7" si="2">IF(ROW(U2)-ROW(U$2)+1&gt;COUNT(V$2:V$7),"",INDEX(U:U,SMALL(V$2:V$7,1+ROW(U2)-ROW(U$2))))</f>
        <v>Unit 3 - Health and Safety in Engineering</v>
      </c>
      <c r="Y2" s="14" t="s">
        <v>108</v>
      </c>
      <c r="Z2" s="19">
        <f>IF(COUNTIF(Award!$H$11:$H$12,Y2)&gt;=1,"",ROW())</f>
        <v>2</v>
      </c>
      <c r="AA2" s="20" t="str">
        <f t="shared" ref="AA2:AA7" si="3">IF(ROW(Y2)-ROW(Y$2)+1&gt;COUNT(Z$2:Z$7),"",INDEX(Y:Y,SMALL(Z$2:Z$7,1+ROW(Y2)-ROW(Y$2))))</f>
        <v xml:space="preserve">Unit 3 - Effective Communication in Health and Social Care </v>
      </c>
      <c r="AC2" s="14" t="s">
        <v>115</v>
      </c>
      <c r="AD2" s="19">
        <f>IF(COUNTIF(Award!$H$11:$H$12,AC2)&gt;=1,"",ROW())</f>
        <v>2</v>
      </c>
      <c r="AE2" s="20" t="str">
        <f>IF(ROW(AC2)-ROW(AC$2)+1&gt;COUNT(AD$2:AD$6),"",INDEX(AC:AC,SMALL(AD$2:AD$6,1+ROW(AC2)-ROW(AC$2))))</f>
        <v>Unit 4 - Costing and Controlling Finances in the Hospitality Industry</v>
      </c>
      <c r="AG2" s="14" t="s">
        <v>136</v>
      </c>
      <c r="AH2" s="19" t="e">
        <f>IF(COUNTIF(#REF!,AG2)&gt;=1,"",ROW())</f>
        <v>#REF!</v>
      </c>
      <c r="AI2" s="20" t="str">
        <f>IF(ROW(AG2)-ROW(AG$2)+1&gt;COUNT(AH$2:AH$3),"",INDEX(AG:AG,SMALL(AH$2:AH$3,1+ROW(AG2)-ROW(AG$2))))</f>
        <v/>
      </c>
      <c r="AK2" s="14" t="s">
        <v>253</v>
      </c>
      <c r="AL2" s="19">
        <f>IF(COUNTIF(Award!$H$11:$H$12,AK2)&gt;=1,"",ROW())</f>
        <v>2</v>
      </c>
      <c r="AM2" s="20" t="str">
        <f t="shared" ref="AM2:AM11" si="4">IF(ROW(AK2)-ROW(AK$2)+1&gt;COUNT(AL$2:AL$11),"",INDEX(AK:AK,SMALL(AL$2:AL$11,1+ROW(AK2)-ROW(AK$2))))</f>
        <v>Unit 4 - Creating Digital Animation</v>
      </c>
      <c r="AO2" s="14" t="s">
        <v>31</v>
      </c>
      <c r="AP2" s="19">
        <f>IF(COUNTIF(Award!$H$11:$H$12,AO2)&gt;=1,"",ROW())</f>
        <v>2</v>
      </c>
      <c r="AQ2" s="20" t="str">
        <f>IF(ROW(AO2)-ROW(AO$2)+1&gt;COUNT(AP$2:AP$6),"",INDEX(AO:AO,SMALL(AP$2:AP$6,1+ROW(AO2)-ROW(AO$2))))</f>
        <v>Unit 3 - Introducing Live Sound</v>
      </c>
      <c r="AS2" s="14" t="s">
        <v>120</v>
      </c>
      <c r="AT2" s="19">
        <f>IF(COUNTIF(Award!$H$11:$H$12,AS2)&gt;=1,"",ROW())</f>
        <v>2</v>
      </c>
      <c r="AU2" s="20" t="str">
        <f>IF(ROW(AS2)-ROW(AS$2)+1&gt;COUNT(AT$2:AT$6),"",INDEX(AS:AS,SMALL(AT$2:AT$6,1+ROW(AS2)-ROW(AS$2))))</f>
        <v>Unit 3 - Acting Skills</v>
      </c>
      <c r="AW2" s="14" t="s">
        <v>125</v>
      </c>
      <c r="AX2" s="19">
        <f>IF(COUNTIF(Award!$H$11:$H$12,AW2)&gt;=1,"",ROW())</f>
        <v>2</v>
      </c>
      <c r="AY2" s="20" t="str">
        <f>IF(ROW(AW2)-ROW(AW$2)+1&gt;COUNT(AX$2:AX$5),"",INDEX(AW:AW,SMALL(AX$2:AX$5,1+ROW(AW2)-ROW(AW$2))))</f>
        <v>Unit 3 - The Mind and Sports Performance</v>
      </c>
      <c r="BA2" s="14" t="s">
        <v>80</v>
      </c>
      <c r="BB2" s="19">
        <f>IF(COUNTIF(Award!$H$11:$H$12,BA2)&gt;=1,"",ROW())</f>
        <v>2</v>
      </c>
      <c r="BC2" s="20" t="str">
        <f>IF(ROW(BA2)-ROW(BA$2)+1&gt;COUNT(BB$2:BB$5),"",INDEX(BA:BA,SMALL(BB$2:BB$5,1+ROW(BA2)-ROW(BA$2))))</f>
        <v xml:space="preserve">Unit 3 - The Development of Travel and Tourism in the UK </v>
      </c>
      <c r="BE2" s="24" t="s">
        <v>150</v>
      </c>
      <c r="BF2" s="19">
        <f>IF(COUNTIF(Award!$H$11:$H$12,BE2)&gt;=1,"",ROW())</f>
        <v>2</v>
      </c>
      <c r="BG2" s="20" t="str">
        <f>IF(ROW(BE2)-ROW(BE$2)+1&gt;COUNT(BF$2:BF$3),"",INDEX(BE:BE,SMALL(BF$2:BF$3,1+ROW(BE2)-ROW(BE$2))))</f>
        <v xml:space="preserve">Unit 7 - Health Applications of Life Science </v>
      </c>
      <c r="BI2" s="14" t="s">
        <v>171</v>
      </c>
      <c r="BJ2" s="19">
        <f>IF(COUNTIF(Award!$H$11:$H$12,BI2)&gt;=1,"",ROW())</f>
        <v>2</v>
      </c>
      <c r="BK2" s="20" t="str">
        <f>IF(ROW(BI2)-ROW(BI$2)+1&gt;COUNT(BJ$2:BJ$4),"",INDEX(BI:BI,SMALL(BJ$2:BJ$4,1+ROW(BI2)-ROW(BI$2))))</f>
        <v>Unit 3 - Employment in the Public Services</v>
      </c>
      <c r="BM2" s="33" t="s">
        <v>373</v>
      </c>
      <c r="BN2" s="19">
        <f>IF(COUNTIF(Award!$H$11:$H$12,BM2)&gt;=1,"",ROW())</f>
        <v>2</v>
      </c>
      <c r="BO2" s="20" t="str">
        <f>IF(ROW(BM2)-ROW(BM$2)+1&gt;COUNT(BN$2:BN$3),"",INDEX(BM:BM,SMALL(BN$2:BN$3,1+ROW(BM2)-ROW(BM$2))))</f>
        <v>Unit 3 - Energy and Our Universe</v>
      </c>
      <c r="BQ2" s="14" t="s">
        <v>253</v>
      </c>
      <c r="BR2" s="19">
        <f>IF(COUNTIF(Award!$H$11:$H$12,BQ2)&gt;=1,"",ROW())</f>
        <v>2</v>
      </c>
      <c r="BS2" s="20" t="str">
        <f t="shared" ref="BS2:BS11" si="5">IF(ROW(BQ2)-ROW(BQ$2)+1&gt;COUNT(BR$2:BR$11),"",INDEX(BQ:BQ,SMALL(BR$2:BR$11,1+ROW(BQ2)-ROW(BQ$2))))</f>
        <v>Unit 4 - Creating Digital Animation</v>
      </c>
      <c r="BU2" s="15" t="s">
        <v>95</v>
      </c>
      <c r="BV2" s="19">
        <f>IF(COUNTIF(Award!$H$11:$H$12,BU2)&gt;=1,"",ROW())</f>
        <v>2</v>
      </c>
      <c r="BW2" s="20" t="str">
        <f>IF(ROW(BU2)-ROW(BU$2)+1&gt;COUNT(BV$2:BV$9),"",INDEX(BU:BU,SMALL(BV$2:BV$9,1+ROW(BU2)-ROW(BU$2))))</f>
        <v>Unit 3 - Scientific and Mathematical Applications for Construction</v>
      </c>
      <c r="BY2" s="14" t="s">
        <v>114</v>
      </c>
      <c r="BZ2" s="19">
        <f>IF(COUNTIF(Award!$H$11:$H$12,BY2)&gt;=1,"",ROW())</f>
        <v>2</v>
      </c>
      <c r="CA2" s="20" t="str">
        <f>IF(ROW(BY2)-ROW(BY$2)+1&gt;COUNT(BZ$2),"",INDEX(BY:BY,SMALL(BZ$2,1+ROW(BY2)-ROW(BY$2))))</f>
        <v>Unit 3 - Food Safety and Health and Safety in Hospitality</v>
      </c>
      <c r="CC2" t="s">
        <v>477</v>
      </c>
      <c r="CD2" s="19">
        <f>IF(COUNTIF(Award!$H$11:$H$12,CC2)&gt;=1,"",ROW())</f>
        <v>2</v>
      </c>
      <c r="CE2" s="20" t="str">
        <f>IF(ROW(CC2)-ROW(CC$2)+1&gt;COUNT(CD$2:CD$4),"",INDEX(CC:CC,SMALL(CD$2:CD$4,1+ROW(CC2)-ROW(CC$2))))</f>
        <v>Unit 3 - Animal Welfare</v>
      </c>
    </row>
    <row r="3" spans="1:83" ht="14">
      <c r="A3" s="14" t="s">
        <v>85</v>
      </c>
      <c r="B3" s="17">
        <f>IF(COUNTIF(Award!H11:H12,A3)&gt;=1,"",ROW())</f>
        <v>3</v>
      </c>
      <c r="C3" s="17" t="str">
        <f>IF(ROW(A3)-ROW(A$2)+1&gt;COUNT(B$2:B$5),"",INDEX(A:A,SMALL(B$2:B$5,1+ROW(A3)-ROW(A$2))))</f>
        <v xml:space="preserve">Unit 4 - Communicating Ideas in 3D </v>
      </c>
      <c r="E3" s="14" t="s">
        <v>89</v>
      </c>
      <c r="F3" s="19">
        <f>IF(COUNTIF(Award!H11:H12,E3)&gt;=1,"",ROW())</f>
        <v>3</v>
      </c>
      <c r="G3" s="20" t="str">
        <f t="shared" si="0"/>
        <v>Unit 4 - Principles of Customer Service</v>
      </c>
      <c r="J3" s="19"/>
      <c r="K3" s="20"/>
      <c r="M3" s="14" t="s">
        <v>133</v>
      </c>
      <c r="N3" s="19">
        <f>IF(COUNTIF(Award!$H$11:$H$12,M3)&gt;=1,"",ROW())</f>
        <v>3</v>
      </c>
      <c r="O3" s="20" t="str">
        <f t="shared" si="1"/>
        <v>Unit 5 - Construction Drawing Techniques</v>
      </c>
      <c r="Q3" s="14" t="s">
        <v>21</v>
      </c>
      <c r="R3" s="19">
        <f>IF(COUNTIF(Award!$H$11:$H$12,Q3)&gt;=1,"",ROW())</f>
        <v>3</v>
      </c>
      <c r="S3" s="20" t="str">
        <f>IF(ROW(Q3)-ROW(Q$2)+1&gt;COUNT(R$2:R$7),"",INDEX(Q:Q,SMALL(R$2:R$7,1+ROW(Q3)-ROW(Q$2))))</f>
        <v>Unit 4 - Digital Audio Production</v>
      </c>
      <c r="U3" s="14" t="s">
        <v>103</v>
      </c>
      <c r="V3" s="19">
        <f>IF(COUNTIF(Award!$H$11:$H$12,U3)&gt;=1,"",ROW())</f>
        <v>3</v>
      </c>
      <c r="W3" s="20" t="str">
        <f t="shared" si="2"/>
        <v>Unit 4 - Engineering Maintenance</v>
      </c>
      <c r="Y3" s="14" t="s">
        <v>109</v>
      </c>
      <c r="Z3" s="19">
        <f>IF(COUNTIF(Award!$H$11:$H$12,Y3)&gt;=1,"",ROW())</f>
        <v>3</v>
      </c>
      <c r="AA3" s="20" t="str">
        <f t="shared" si="3"/>
        <v xml:space="preserve">Unit 4 - Social Influences on Health and Wellbeing </v>
      </c>
      <c r="AC3" s="14" t="s">
        <v>116</v>
      </c>
      <c r="AD3" s="19">
        <f>IF(COUNTIF(Award!$H$11:$H$12,AC3)&gt;=1,"",ROW())</f>
        <v>3</v>
      </c>
      <c r="AE3" s="20" t="str">
        <f>IF(ROW(AC3)-ROW(AC$2)+1&gt;COUNT(AD$2:AD$6),"",INDEX(AC:AC,SMALL(AD$2:AD$6,1+ROW(AC3)-ROW(AC$2))))</f>
        <v>Unit 5 - Enterprise in the Hospitality Industry</v>
      </c>
      <c r="AG3" s="14" t="s">
        <v>137</v>
      </c>
      <c r="AH3" s="19" t="e">
        <f>IF(COUNTIF(#REF!,AG3)&gt;=1,"",ROW())</f>
        <v>#REF!</v>
      </c>
      <c r="AI3" s="20" t="str">
        <f>IF(ROW(AG3)-ROW(AG$2)+1&gt;COUNT(AH$2:AH$3),"",INDEX(AG:AG,SMALL(AH$2:AH$3,1+ROW(AG3)-ROW(AG$2))))</f>
        <v/>
      </c>
      <c r="AK3" s="14" t="s">
        <v>140</v>
      </c>
      <c r="AL3" s="19">
        <f>IF(COUNTIF(Award!$H$11:$H$12,AK3)&gt;=1,"",ROW())</f>
        <v>3</v>
      </c>
      <c r="AM3" s="20" t="str">
        <f t="shared" si="4"/>
        <v>Unit 5 - Creating Digital Audio</v>
      </c>
      <c r="AO3" s="14" t="s">
        <v>32</v>
      </c>
      <c r="AP3" s="19">
        <f>IF(COUNTIF(Award!$H$11:$H$12,AO3)&gt;=1,"",ROW())</f>
        <v>3</v>
      </c>
      <c r="AQ3" s="20" t="str">
        <f>IF(ROW(AO3)-ROW(AO$2)+1&gt;COUNT(AP$2:AP$6),"",INDEX(AO:AO,SMALL(AP$2:AP$6,1+ROW(AO3)-ROW(AO$2))))</f>
        <v>Unit 4 - Introducing Music Composition</v>
      </c>
      <c r="AS3" s="14" t="s">
        <v>121</v>
      </c>
      <c r="AT3" s="19">
        <f>IF(COUNTIF(Award!$H$11:$H$12,AS3)&gt;=1,"",ROW())</f>
        <v>3</v>
      </c>
      <c r="AU3" s="20" t="str">
        <f>IF(ROW(AS3)-ROW(AS$2)+1&gt;COUNT(AT$2:AT$6),"",INDEX(AS:AS,SMALL(AT$2:AT$6,1+ROW(AS3)-ROW(AS$2))))</f>
        <v>Unit 4 - Dance Skills</v>
      </c>
      <c r="AW3" s="14" t="s">
        <v>126</v>
      </c>
      <c r="AX3" s="19">
        <f>IF(COUNTIF(Award!$H$11:$H$12,AW3)&gt;=1,"",ROW())</f>
        <v>3</v>
      </c>
      <c r="AY3" s="20" t="str">
        <f>IF(ROW(AW3)-ROW(AW$2)+1&gt;COUNT(AX$2:AX$5),"",INDEX(AW:AW,SMALL(AX$2:AX$5,1+ROW(AW3)-ROW(AW$2))))</f>
        <v>Unit 4 - The Sports Performer in Action</v>
      </c>
      <c r="BA3" s="14" t="s">
        <v>81</v>
      </c>
      <c r="BB3" s="19">
        <f>IF(COUNTIF(Award!$H$11:$H$12,BA3)&gt;=1,"",ROW())</f>
        <v>3</v>
      </c>
      <c r="BC3" s="20" t="str">
        <f>IF(ROW(BA3)-ROW(BA$2)+1&gt;COUNT(BB$2:BB$5),"",INDEX(BA:BA,SMALL(BB$2:BB$5,1+ROW(BA3)-ROW(BA$2))))</f>
        <v xml:space="preserve">Unit 4 - International Travel and Tourism Destinations </v>
      </c>
      <c r="BE3" s="24" t="s">
        <v>151</v>
      </c>
      <c r="BF3" s="19">
        <f>IF(COUNTIF(Award!$H$11:$H$12,BE3)&gt;=1,"",ROW())</f>
        <v>3</v>
      </c>
      <c r="BG3" s="20" t="str">
        <f>IF(ROW(BE3)-ROW(BE$2)+1&gt;COUNT(BF$2:BF$3),"",INDEX(BE:BE,SMALL(BF$2:BF$3,1+ROW(BE3)-ROW(BE$2))))</f>
        <v xml:space="preserve">Unit 8 - Scientific Skills </v>
      </c>
      <c r="BI3" s="14" t="s">
        <v>172</v>
      </c>
      <c r="BJ3" s="19">
        <f>IF(COUNTIF(Award!$H$11:$H$12,BI3)&gt;=1,"",ROW())</f>
        <v>3</v>
      </c>
      <c r="BK3" s="20" t="str">
        <f>IF(ROW(BI3)-ROW(BI$2)+1&gt;COUNT(BJ$2:BJ$4),"",INDEX(BI:BI,SMALL(BJ$2:BJ$4,1+ROW(BI3)-ROW(BI$2))))</f>
        <v xml:space="preserve">Unit 4 - Public Services and Community Protection </v>
      </c>
      <c r="BM3" s="33" t="s">
        <v>374</v>
      </c>
      <c r="BN3" s="19">
        <f>IF(COUNTIF(Award!$H$11:$H$12,BM3)&gt;=1,"",ROW())</f>
        <v>3</v>
      </c>
      <c r="BO3" s="20" t="str">
        <f>IF(ROW(BM3)-ROW(BM$2)+1&gt;COUNT(BN$2:BN$3),"",INDEX(BM:BM,SMALL(BN$2:BN$3,1+ROW(BM3)-ROW(BM$2))))</f>
        <v>Unit 4 - Biology and Our Environment</v>
      </c>
      <c r="BQ3" s="14" t="s">
        <v>140</v>
      </c>
      <c r="BR3" s="19">
        <f>IF(COUNTIF(Award!$H$11:$H$12,BQ3)&gt;=1,"",ROW())</f>
        <v>3</v>
      </c>
      <c r="BS3" s="20" t="str">
        <f t="shared" si="5"/>
        <v>Unit 5 - Creating Digital Audio</v>
      </c>
      <c r="BY3" s="14"/>
      <c r="BZ3" s="19"/>
      <c r="CA3" s="20"/>
      <c r="CC3" t="s">
        <v>478</v>
      </c>
      <c r="CD3" s="19">
        <f>IF(COUNTIF(Award!$H$11:$H$12,CC3)&gt;=1,"",ROW())</f>
        <v>3</v>
      </c>
      <c r="CE3" s="20" t="str">
        <f t="shared" ref="CE3:CE4" si="6">IF(ROW(CC3)-ROW(CC$2)+1&gt;COUNT(CD$2:CD$4),"",INDEX(CC:CC,SMALL(CD$2:CD$4,1+ROW(CC3)-ROW(CC$2))))</f>
        <v>Unit 4 - Animal Housing and Accommodation</v>
      </c>
    </row>
    <row r="4" spans="1:83" ht="14">
      <c r="A4" s="14" t="s">
        <v>86</v>
      </c>
      <c r="B4" s="17">
        <f>IF(COUNTIF(Award!H11:H12,A4)&gt;=1,"",ROW())</f>
        <v>4</v>
      </c>
      <c r="C4" s="17" t="str">
        <f>IF(ROW(A4)-ROW(A$2)+1&gt;COUNT(B$2:B$5),"",INDEX(A:A,SMALL(B$2:B$5,1+ROW(A4)-ROW(A$2))))</f>
        <v xml:space="preserve">Unit 5 - Developing an Art and Design Portfolio </v>
      </c>
      <c r="E4" s="14" t="s">
        <v>90</v>
      </c>
      <c r="F4" s="19">
        <f>IF(COUNTIF(Award!H11:H12,E4)&gt;=1,"",ROW())</f>
        <v>4</v>
      </c>
      <c r="G4" s="20" t="str">
        <f t="shared" si="0"/>
        <v xml:space="preserve">Unit 5 - Sales and Personal Selling </v>
      </c>
      <c r="J4" s="19"/>
      <c r="K4" s="20"/>
      <c r="M4" s="14" t="s">
        <v>97</v>
      </c>
      <c r="N4" s="19">
        <f>IF(COUNTIF(Award!$H$11:$H$12,M4)&gt;=1,"",ROW())</f>
        <v>4</v>
      </c>
      <c r="O4" s="20" t="str">
        <f t="shared" si="1"/>
        <v>Unit 6 - Exploring Carpentry and Joinery Principles and Techniques</v>
      </c>
      <c r="Q4" s="14" t="s">
        <v>22</v>
      </c>
      <c r="R4" s="19">
        <f>IF(COUNTIF(Award!$H$11:$H$12,Q4)&gt;=1,"",ROW())</f>
        <v>4</v>
      </c>
      <c r="S4" s="20" t="str">
        <f>IF(ROW(Q4)-ROW(Q$2)+1&gt;COUNT(R$2:R$7),"",INDEX(Q:Q,SMALL(R$2:R$7,1+ROW(Q4)-ROW(Q$2))))</f>
        <v>Unit 5 - Digital Publishing Production</v>
      </c>
      <c r="U4" s="14" t="s">
        <v>104</v>
      </c>
      <c r="V4" s="19">
        <f>IF(COUNTIF(Award!$H$11:$H$12,U4)&gt;=1,"",ROW())</f>
        <v>4</v>
      </c>
      <c r="W4" s="20" t="str">
        <f t="shared" si="2"/>
        <v>Unit 5 - Engineering Materials</v>
      </c>
      <c r="Y4" s="14" t="s">
        <v>110</v>
      </c>
      <c r="Z4" s="19">
        <f>IF(COUNTIF(Award!$H$11:$H$12,Y4)&gt;=1,"",ROW())</f>
        <v>4</v>
      </c>
      <c r="AA4" s="20" t="str">
        <f t="shared" si="3"/>
        <v xml:space="preserve">Unit 5 - Promoting Health and Wellbeing </v>
      </c>
      <c r="AC4" s="14" t="s">
        <v>117</v>
      </c>
      <c r="AD4" s="19">
        <f>IF(COUNTIF(Award!$H$11:$H$12,AC4)&gt;=1,"",ROW())</f>
        <v>4</v>
      </c>
      <c r="AE4" s="20" t="str">
        <f>IF(ROW(AC4)-ROW(AC$2)+1&gt;COUNT(AD$2:AD$6),"",INDEX(AC:AC,SMALL(AD$2:AD$6,1+ROW(AC4)-ROW(AC$2))))</f>
        <v>Unit 6 - Planning, Preparing, Cooking and Finishing Food</v>
      </c>
      <c r="AH4" s="19"/>
      <c r="AI4" s="20"/>
      <c r="AK4" s="14" t="s">
        <v>141</v>
      </c>
      <c r="AL4" s="19">
        <f>IF(COUNTIF(Award!$H$11:$H$12,AK4)&gt;=1,"",ROW())</f>
        <v>4</v>
      </c>
      <c r="AM4" s="20" t="str">
        <f t="shared" si="4"/>
        <v>Unit 6 - Creating Digital Graphics</v>
      </c>
      <c r="AO4" s="14" t="s">
        <v>33</v>
      </c>
      <c r="AP4" s="19">
        <f>IF(COUNTIF(Award!$H$11:$H$12,AO4)&gt;=1,"",ROW())</f>
        <v>4</v>
      </c>
      <c r="AQ4" s="20" t="str">
        <f>IF(ROW(AO4)-ROW(AO$2)+1&gt;COUNT(AP$2:AP$6),"",INDEX(AO:AO,SMALL(AP$2:AP$6,1+ROW(AO4)-ROW(AO$2))))</f>
        <v>Unit 5 - Introducing Music Performance</v>
      </c>
      <c r="AS4" s="14" t="s">
        <v>122</v>
      </c>
      <c r="AT4" s="19">
        <f>IF(COUNTIF(Award!$H$11:$H$12,AS4)&gt;=1,"",ROW())</f>
        <v>4</v>
      </c>
      <c r="AU4" s="20" t="str">
        <f>IF(ROW(AS4)-ROW(AS$2)+1&gt;COUNT(AT$2:AT$6),"",INDEX(AS:AS,SMALL(AT$2:AT$6,1+ROW(AS4)-ROW(AS$2))))</f>
        <v xml:space="preserve">Unit 5 - Musical Theatre Skills </v>
      </c>
      <c r="AW4" s="14" t="s">
        <v>127</v>
      </c>
      <c r="AX4" s="19">
        <f>IF(COUNTIF(Award!$H$11:$H$12,AW4)&gt;=1,"",ROW())</f>
        <v>4</v>
      </c>
      <c r="AY4" s="20" t="str">
        <f>IF(ROW(AW4)-ROW(AW$2)+1&gt;COUNT(AX$2:AX$5),"",INDEX(AW:AW,SMALL(AX$2:AX$5,1+ROW(AW4)-ROW(AW$2))))</f>
        <v>Unit 5 - Training for Personal Fitness</v>
      </c>
      <c r="BA4" s="14" t="s">
        <v>82</v>
      </c>
      <c r="BB4" s="19">
        <f>IF(COUNTIF(Award!$H$11:$H$12,BA4)&gt;=1,"",ROW())</f>
        <v>4</v>
      </c>
      <c r="BC4" s="20" t="str">
        <f>IF(ROW(BA4)-ROW(BA$2)+1&gt;COUNT(BB$2:BB$5),"",INDEX(BA:BA,SMALL(BB$2:BB$5,1+ROW(BA4)-ROW(BA$2))))</f>
        <v>Unit 5 - Factors Affecting Worldwide Travel and Tourism</v>
      </c>
      <c r="BI4" s="14" t="s">
        <v>173</v>
      </c>
      <c r="BJ4" s="19">
        <f>IF(COUNTIF(Award!$H$11:$H$12,BI4)&gt;=1,"",ROW())</f>
        <v>4</v>
      </c>
      <c r="BK4" s="20" t="str">
        <f>IF(ROW(BI4)-ROW(BI$2)+1&gt;COUNT(BJ$2:BJ$4),"",INDEX(BI:BI,SMALL(BJ$2:BJ$4,1+ROW(BI4)-ROW(BI$2))))</f>
        <v>Unit 5 - Health, Fitness and Lifestyle for the Public Services</v>
      </c>
      <c r="BQ4" s="14" t="s">
        <v>141</v>
      </c>
      <c r="BR4" s="19">
        <f>IF(COUNTIF(Award!$H$11:$H$12,BQ4)&gt;=1,"",ROW())</f>
        <v>4</v>
      </c>
      <c r="BS4" s="20" t="str">
        <f t="shared" si="5"/>
        <v>Unit 6 - Creating Digital Graphics</v>
      </c>
      <c r="BY4" s="14"/>
      <c r="BZ4" s="19"/>
      <c r="CA4" s="20"/>
      <c r="CC4" t="s">
        <v>479</v>
      </c>
      <c r="CD4" s="19">
        <f>IF(COUNTIF(Award!$H$11:$H$12,CC4)&gt;=1,"",ROW())</f>
        <v>4</v>
      </c>
      <c r="CE4" s="20" t="str">
        <f t="shared" si="6"/>
        <v>Unit 5 - Principles of Animal Behaviour</v>
      </c>
    </row>
    <row r="5" spans="1:83" ht="14">
      <c r="A5" s="14" t="s">
        <v>87</v>
      </c>
      <c r="B5" s="17">
        <f>IF(COUNTIF(Award!H11:H12,A5)&gt;=1,"",ROW())</f>
        <v>5</v>
      </c>
      <c r="C5" s="17" t="str">
        <f>IF(ROW(A5)-ROW(A$2)+1&gt;COUNT(B$2:B$5),"",INDEX(A:A,SMALL(B$2:B$5,1+ROW(A5)-ROW(A$2))))</f>
        <v xml:space="preserve">Unit 6 - Investigating Contextual References in Art and Design </v>
      </c>
      <c r="E5" s="14" t="s">
        <v>91</v>
      </c>
      <c r="F5" s="19">
        <f>IF(COUNTIF(Award!H11:H12,E5)&gt;=1,"",ROW())</f>
        <v>5</v>
      </c>
      <c r="G5" s="20" t="str">
        <f t="shared" si="0"/>
        <v>Unit 6 - Introducing Retail Business</v>
      </c>
      <c r="J5" s="19"/>
      <c r="K5" s="20"/>
      <c r="M5" s="14" t="s">
        <v>98</v>
      </c>
      <c r="N5" s="19">
        <f>IF(COUNTIF(Award!$H$11:$H$12,M5)&gt;=1,"",ROW())</f>
        <v>5</v>
      </c>
      <c r="O5" s="20" t="str">
        <f t="shared" si="1"/>
        <v>Unit 7 - Exploring Brickwork and Blockwork Principles and Techniques</v>
      </c>
      <c r="Q5" s="14" t="s">
        <v>23</v>
      </c>
      <c r="R5" s="19">
        <f>IF(COUNTIF(Award!$H$11:$H$12,Q5)&gt;=1,"",ROW())</f>
        <v>5</v>
      </c>
      <c r="S5" s="20" t="str">
        <f>IF(ROW(Q5)-ROW(Q$2)+1&gt;COUNT(R$2:R$7),"",INDEX(Q:Q,SMALL(R$2:R$7,1+ROW(Q5)-ROW(Q$2))))</f>
        <v xml:space="preserve">Unit 6 - Website Production </v>
      </c>
      <c r="U5" s="14" t="s">
        <v>105</v>
      </c>
      <c r="V5" s="19">
        <f>IF(COUNTIF(Award!$H$11:$H$12,U5)&gt;=1,"",ROW())</f>
        <v>5</v>
      </c>
      <c r="W5" s="20" t="str">
        <f t="shared" si="2"/>
        <v>Unit 6 - Computer-aided Engineering</v>
      </c>
      <c r="Y5" s="14" t="s">
        <v>111</v>
      </c>
      <c r="Z5" s="19">
        <f>IF(COUNTIF(Award!$H$11:$H$12,Y5)&gt;=1,"",ROW())</f>
        <v>5</v>
      </c>
      <c r="AA5" s="20" t="str">
        <f t="shared" si="3"/>
        <v xml:space="preserve">Unit 6 - The Impact of Nutrition on Health and Wellbeing </v>
      </c>
      <c r="AC5" s="14" t="s">
        <v>118</v>
      </c>
      <c r="AD5" s="19">
        <f>IF(COUNTIF(Award!$H$11:$H$12,AC5)&gt;=1,"",ROW())</f>
        <v>5</v>
      </c>
      <c r="AE5" s="20" t="str">
        <f>IF(ROW(AC5)-ROW(AC$2)+1&gt;COUNT(AD$2:AD$6),"",INDEX(AC:AC,SMALL(AD$2:AD$6,1+ROW(AC5)-ROW(AC$2))))</f>
        <v>Unit 7 - Food and Beverage Service in the Hospitality Industry</v>
      </c>
      <c r="AH5" s="19"/>
      <c r="AI5" s="20"/>
      <c r="AK5" s="14" t="s">
        <v>142</v>
      </c>
      <c r="AL5" s="19">
        <f>IF(COUNTIF(Award!$H$11:$H$12,AK5)&gt;=1,"",ROW())</f>
        <v>5</v>
      </c>
      <c r="AM5" s="20" t="str">
        <f t="shared" si="4"/>
        <v>Unit 7 - Creating Digital Video</v>
      </c>
      <c r="AO5" s="14" t="s">
        <v>34</v>
      </c>
      <c r="AP5" s="19">
        <f>IF(COUNTIF(Award!$H$11:$H$12,AO5)&gt;=1,"",ROW())</f>
        <v>5</v>
      </c>
      <c r="AQ5" s="20" t="str">
        <f>IF(ROW(AO5)-ROW(AO$2)+1&gt;COUNT(AP$2:AP$6),"",INDEX(AO:AO,SMALL(AP$2:AP$6,1+ROW(AO5)-ROW(AO$2))))</f>
        <v>Unit 6 - Introducing Music Recording</v>
      </c>
      <c r="AS5" s="14" t="s">
        <v>123</v>
      </c>
      <c r="AT5" s="19">
        <f>IF(COUNTIF(Award!$H$11:$H$12,AS5)&gt;=1,"",ROW())</f>
        <v>5</v>
      </c>
      <c r="AU5" s="20" t="str">
        <f>IF(ROW(AS5)-ROW(AS$2)+1&gt;COUNT(AT$2:AT$6),"",INDEX(AS:AS,SMALL(AT$2:AT$6,1+ROW(AS5)-ROW(AS$2))))</f>
        <v>Unit 6 - Music Performance Skills</v>
      </c>
      <c r="AW5" s="14" t="s">
        <v>128</v>
      </c>
      <c r="AX5" s="19">
        <f>IF(COUNTIF(Award!$H$11:$H$12,AW5)&gt;=1,"",ROW())</f>
        <v>5</v>
      </c>
      <c r="AY5" s="20" t="str">
        <f>IF(ROW(AW5)-ROW(AW$2)+1&gt;COUNT(AX$2:AX$5),"",INDEX(AW:AW,SMALL(AX$2:AX$5,1+ROW(AW5)-ROW(AW$2))))</f>
        <v>Unit 6 - Leading Sports Activities</v>
      </c>
      <c r="BA5" s="14" t="s">
        <v>83</v>
      </c>
      <c r="BB5" s="19">
        <f>IF(COUNTIF(Award!$H$11:$H$12,BA5)&gt;=1,"",ROW())</f>
        <v>5</v>
      </c>
      <c r="BC5" s="20" t="str">
        <f>IF(ROW(BA5)-ROW(BA$2)+1&gt;COUNT(BB$2:BB$5),"",INDEX(BA:BA,SMALL(BB$2:BB$5,1+ROW(BA5)-ROW(BA$2))))</f>
        <v xml:space="preserve">Unit 6 -The Travel and Tourism Customer Experience </v>
      </c>
      <c r="BQ5" s="14" t="s">
        <v>142</v>
      </c>
      <c r="BR5" s="19">
        <f>IF(COUNTIF(Award!$H$11:$H$12,BQ5)&gt;=1,"",ROW())</f>
        <v>5</v>
      </c>
      <c r="BS5" s="20" t="str">
        <f t="shared" si="5"/>
        <v>Unit 7 - Creating Digital Video</v>
      </c>
      <c r="BY5" s="14"/>
      <c r="BZ5" s="19"/>
      <c r="CA5" s="20"/>
    </row>
    <row r="6" spans="1:83" ht="14">
      <c r="E6" s="14" t="s">
        <v>92</v>
      </c>
      <c r="F6" s="19">
        <f>IF(COUNTIF(Award!H11:H12,E6)&gt;=1,"",ROW())</f>
        <v>6</v>
      </c>
      <c r="G6" s="20" t="str">
        <f t="shared" si="0"/>
        <v xml:space="preserve">Unit 7 - Providing Business Support </v>
      </c>
      <c r="J6" s="19"/>
      <c r="K6" s="20"/>
      <c r="M6" s="14" t="s">
        <v>99</v>
      </c>
      <c r="N6" s="19">
        <f>IF(COUNTIF(Award!$H$11:$H$12,M6)&gt;=1,"",ROW())</f>
        <v>6</v>
      </c>
      <c r="O6" s="20" t="str">
        <f t="shared" si="1"/>
        <v>Unit 8 - Exploring Painting and Decorating Principles and Techniques</v>
      </c>
      <c r="Q6" s="14" t="s">
        <v>24</v>
      </c>
      <c r="R6" s="19">
        <f>IF(COUNTIF(Award!$H$11:$H$12,Q6)&gt;=1,"",ROW())</f>
        <v>6</v>
      </c>
      <c r="S6" s="20" t="str">
        <f>IF(ROW(Q6)-ROW(Q$2)+1&gt;COUNT(R$2:R$6),"",INDEX(Q:Q,SMALL(R$2:R$6,1+ROW(Q6)-ROW(Q$2))))</f>
        <v>Unit 7 - Digital Games Production</v>
      </c>
      <c r="U6" s="14" t="s">
        <v>106</v>
      </c>
      <c r="V6" s="19">
        <f>IF(COUNTIF(Award!$H$11:$H$12,U6)&gt;=1,"",ROW())</f>
        <v>6</v>
      </c>
      <c r="W6" s="20" t="str">
        <f t="shared" si="2"/>
        <v>Unit 7 - Machining Techniques</v>
      </c>
      <c r="Y6" s="14" t="s">
        <v>112</v>
      </c>
      <c r="Z6" s="19">
        <f>IF(COUNTIF(Award!$H$11:$H$12,Y6)&gt;=1,"",ROW())</f>
        <v>6</v>
      </c>
      <c r="AA6" s="20" t="str">
        <f t="shared" si="3"/>
        <v xml:space="preserve">Unit 7 - Equality and Diversity in Health and Social Care </v>
      </c>
      <c r="AC6" s="14" t="s">
        <v>119</v>
      </c>
      <c r="AD6" s="19">
        <f>IF(COUNTIF(Award!$H$11:$H$12,AC6)&gt;=1,"",ROW())</f>
        <v>6</v>
      </c>
      <c r="AE6" s="20" t="str">
        <f>IF(ROW(AC6)-ROW(AC$2)+1&gt;COUNT(AD$2:AD$6),"",INDEX(AC:AC,SMALL(AD$2:AD$6,1+ROW(AC6)-ROW(AC$2))))</f>
        <v>Unit 8 - Front Office Services in the Hospitality Industry</v>
      </c>
      <c r="AH6" s="19"/>
      <c r="AI6" s="20"/>
      <c r="AK6" s="14" t="s">
        <v>290</v>
      </c>
      <c r="AL6" s="19">
        <f>IF(COUNTIF(Award!$H$11:$H$12,AK6)&gt;=1,"",ROW())</f>
        <v>6</v>
      </c>
      <c r="AM6" s="20" t="str">
        <f t="shared" si="4"/>
        <v>Unit 8 - Mobile Apps Development</v>
      </c>
      <c r="AO6" s="14" t="s">
        <v>35</v>
      </c>
      <c r="AP6" s="19">
        <f>IF(COUNTIF(Award!$H$11:$H$12,AO6)&gt;=1,"",ROW())</f>
        <v>6</v>
      </c>
      <c r="AQ6" s="20" t="str">
        <f>IF(ROW(AO6)-ROW(AO$2)+1&gt;COUNT(AP$2:AP$6),"",INDEX(AO:AO,SMALL(AP$2:AP$6,1+ROW(AO6)-ROW(AO$2))))</f>
        <v>Unit 7 - Introducing Music Sequencing</v>
      </c>
      <c r="AS6" s="14" t="s">
        <v>124</v>
      </c>
      <c r="AT6" s="19">
        <f>IF(COUNTIF(Award!$H$11:$H$12,AS6)&gt;=1,"",ROW())</f>
        <v>6</v>
      </c>
      <c r="AU6" s="20" t="str">
        <f>IF(ROW(AS6)-ROW(AS$2)+1&gt;COUNT(AT$2:AT$6),"",INDEX(AS:AS,SMALL(AT$2:AT$6,1+ROW(AS6)-ROW(AS$2))))</f>
        <v>Unit 7 - Production Skills for Performance</v>
      </c>
      <c r="AX6" s="19"/>
      <c r="AY6" s="20"/>
      <c r="BB6" s="19"/>
      <c r="BC6" s="20"/>
      <c r="BQ6" s="14" t="s">
        <v>290</v>
      </c>
      <c r="BR6" s="19">
        <f>IF(COUNTIF(Award!$H$11:$H$12,BQ6)&gt;=1,"",ROW())</f>
        <v>6</v>
      </c>
      <c r="BS6" s="20" t="str">
        <f t="shared" si="5"/>
        <v>Unit 8 - Mobile Apps Development</v>
      </c>
      <c r="BY6" s="14"/>
      <c r="BZ6" s="19"/>
      <c r="CA6" s="20"/>
    </row>
    <row r="7" spans="1:83" ht="14">
      <c r="E7" s="14" t="s">
        <v>93</v>
      </c>
      <c r="F7" s="19">
        <f>IF(COUNTIF(Award!H11:H12,E7)&gt;=1,"",ROW())</f>
        <v>7</v>
      </c>
      <c r="G7" s="20" t="str">
        <f t="shared" si="0"/>
        <v xml:space="preserve">Unit 8 - Recruitment, Selection and Employment </v>
      </c>
      <c r="J7" s="19"/>
      <c r="K7" s="20"/>
      <c r="M7" s="14" t="s">
        <v>100</v>
      </c>
      <c r="N7" s="19">
        <f>IF(COUNTIF(Award!$H$11:$H$12,M7)&gt;=1,"",ROW())</f>
        <v>7</v>
      </c>
      <c r="O7" s="20" t="str">
        <f t="shared" si="1"/>
        <v>Unit 9 - Exploring Plumbing Principles and Techniques</v>
      </c>
      <c r="R7" s="19"/>
      <c r="S7" s="20"/>
      <c r="U7" s="14" t="s">
        <v>107</v>
      </c>
      <c r="V7" s="19">
        <f>IF(COUNTIF(Award!$H$11:$H$12,U7)&gt;=1,"",ROW())</f>
        <v>7</v>
      </c>
      <c r="W7" s="20" t="str">
        <f t="shared" si="2"/>
        <v>Unit 8 - Electronic Circuit Design and Construction</v>
      </c>
      <c r="Y7" s="14" t="s">
        <v>113</v>
      </c>
      <c r="Z7" s="19">
        <f>IF(COUNTIF(Award!$H$11:$H$12,Y7)&gt;=1,"",ROW())</f>
        <v>7</v>
      </c>
      <c r="AA7" s="20" t="str">
        <f t="shared" si="3"/>
        <v>Unit 8 - Individual Rights in Health and Social Care</v>
      </c>
      <c r="AH7" s="19"/>
      <c r="AI7" s="20"/>
      <c r="AK7" s="14" t="s">
        <v>143</v>
      </c>
      <c r="AL7" s="19">
        <f>IF(COUNTIF(Award!$H$11:$H$12,AK7)&gt;=1,"",ROW())</f>
        <v>7</v>
      </c>
      <c r="AM7" s="20" t="str">
        <f t="shared" si="4"/>
        <v>Unit 9 - Spreadsheet Development</v>
      </c>
      <c r="BQ7" s="14" t="s">
        <v>143</v>
      </c>
      <c r="BR7" s="19">
        <f>IF(COUNTIF(Award!$H$11:$H$12,BQ7)&gt;=1,"",ROW())</f>
        <v>7</v>
      </c>
      <c r="BS7" s="20" t="str">
        <f t="shared" si="5"/>
        <v>Unit 9 - Spreadsheet Development</v>
      </c>
      <c r="BY7" s="14"/>
      <c r="BZ7" s="19"/>
      <c r="CA7" s="20"/>
    </row>
    <row r="8" spans="1:83" ht="14">
      <c r="M8" s="14" t="s">
        <v>101</v>
      </c>
      <c r="N8" s="19">
        <f>IF(COUNTIF(Award!$H$11:$H$12,M8)&gt;=1,"",ROW())</f>
        <v>8</v>
      </c>
      <c r="O8" s="20" t="str">
        <f t="shared" si="1"/>
        <v>Unit 10 - Exploring Electrical Principles and Techniques</v>
      </c>
      <c r="AK8" s="23" t="s">
        <v>306</v>
      </c>
      <c r="AL8" s="19">
        <f>IF(COUNTIF(Award!$H$11:$H$12,AK8)&gt;=1,"",ROW())</f>
        <v>8</v>
      </c>
      <c r="AM8" s="20" t="str">
        <f t="shared" si="4"/>
        <v>Unit 10 - Database Development</v>
      </c>
      <c r="BQ8" s="23" t="s">
        <v>306</v>
      </c>
      <c r="BR8" s="19">
        <f>IF(COUNTIF(Award!$H$11:$H$12,BQ8)&gt;=1,"",ROW())</f>
        <v>8</v>
      </c>
      <c r="BS8" s="20" t="str">
        <f t="shared" si="5"/>
        <v>Unit 10 - Database Development</v>
      </c>
    </row>
    <row r="9" spans="1:83" ht="14">
      <c r="AK9" s="23" t="s">
        <v>144</v>
      </c>
      <c r="AL9" s="19">
        <f>IF(COUNTIF(Award!$H$11:$H$12,AK9)&gt;=1,"",ROW())</f>
        <v>9</v>
      </c>
      <c r="AM9" s="20" t="str">
        <f t="shared" si="4"/>
        <v>Unit 11 - Computer Networks</v>
      </c>
      <c r="BQ9" s="23" t="s">
        <v>144</v>
      </c>
      <c r="BR9" s="19">
        <f>IF(COUNTIF(Award!$H$11:$H$12,BQ9)&gt;=1,"",ROW())</f>
        <v>9</v>
      </c>
      <c r="BS9" s="20" t="str">
        <f t="shared" si="5"/>
        <v>Unit 11 - Computer Networks</v>
      </c>
    </row>
    <row r="10" spans="1:83" ht="14">
      <c r="C10" s="30" t="s">
        <v>474</v>
      </c>
      <c r="AK10" s="23" t="s">
        <v>316</v>
      </c>
      <c r="AL10" s="19">
        <f>IF(COUNTIF(Award!$H$11:$H$12,AK10)&gt;=1,"",ROW())</f>
        <v>10</v>
      </c>
      <c r="AM10" s="20" t="str">
        <f t="shared" si="4"/>
        <v>Unit 12 - Software Development</v>
      </c>
      <c r="BQ10" s="23" t="s">
        <v>316</v>
      </c>
      <c r="BR10" s="19">
        <f>IF(COUNTIF(Award!$H$11:$H$12,BQ10)&gt;=1,"",ROW())</f>
        <v>10</v>
      </c>
      <c r="BS10" s="20" t="str">
        <f t="shared" si="5"/>
        <v>Unit 12 - Software Development</v>
      </c>
    </row>
    <row r="11" spans="1:83" ht="14">
      <c r="C11" s="30" t="s">
        <v>370</v>
      </c>
      <c r="AK11" s="23" t="s">
        <v>145</v>
      </c>
      <c r="AL11" s="19">
        <f>IF(COUNTIF(Award!$H$11:$H$12,AK11)&gt;=1,"",ROW())</f>
        <v>11</v>
      </c>
      <c r="AM11" s="20" t="str">
        <f t="shared" si="4"/>
        <v>Unit 13 - Website Development</v>
      </c>
      <c r="BQ11" s="23" t="s">
        <v>145</v>
      </c>
      <c r="BR11" s="19">
        <f>IF(COUNTIF(Award!$H$11:$H$12,BQ11)&gt;=1,"",ROW())</f>
        <v>11</v>
      </c>
      <c r="BS11" s="20" t="str">
        <f t="shared" si="5"/>
        <v>Unit 13 - Website Development</v>
      </c>
    </row>
    <row r="12" spans="1:83" ht="14">
      <c r="C12" s="16" t="s">
        <v>50</v>
      </c>
    </row>
    <row r="13" spans="1:83" ht="14">
      <c r="C13" s="16" t="s">
        <v>51</v>
      </c>
    </row>
    <row r="14" spans="1:83" ht="14">
      <c r="C14" s="16" t="s">
        <v>129</v>
      </c>
    </row>
    <row r="15" spans="1:83" ht="14">
      <c r="C15" s="16" t="s">
        <v>52</v>
      </c>
    </row>
    <row r="16" spans="1:83" ht="14">
      <c r="C16" s="16" t="s">
        <v>53</v>
      </c>
    </row>
    <row r="17" spans="3:3" ht="14">
      <c r="C17" s="16" t="s">
        <v>54</v>
      </c>
    </row>
    <row r="18" spans="3:3" ht="14">
      <c r="C18" s="16" t="s">
        <v>55</v>
      </c>
    </row>
    <row r="19" spans="3:3" ht="14">
      <c r="C19" s="16" t="s">
        <v>56</v>
      </c>
    </row>
    <row r="20" spans="3:3">
      <c r="C20" s="30" t="s">
        <v>57</v>
      </c>
    </row>
    <row r="21" spans="3:3" ht="14">
      <c r="C21" s="16" t="s">
        <v>12</v>
      </c>
    </row>
    <row r="22" spans="3:3" ht="14">
      <c r="C22" s="16" t="s">
        <v>58</v>
      </c>
    </row>
    <row r="23" spans="3:3">
      <c r="C23" s="30" t="s">
        <v>369</v>
      </c>
    </row>
    <row r="24" spans="3:3">
      <c r="C24" s="30" t="s">
        <v>168</v>
      </c>
    </row>
    <row r="25" spans="3:3" ht="14">
      <c r="C25" s="16" t="s">
        <v>59</v>
      </c>
    </row>
    <row r="26" spans="3:3" ht="14">
      <c r="C26" s="16" t="s">
        <v>60</v>
      </c>
    </row>
  </sheetData>
  <sheetProtection selectLockedCells="1" selectUnlockedCells="1"/>
  <pageMargins left="0.75" right="0.75" top="0.75" bottom="0.75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N243"/>
  <sheetViews>
    <sheetView topLeftCell="A171" workbookViewId="0">
      <selection activeCell="P200" sqref="P200"/>
    </sheetView>
  </sheetViews>
  <sheetFormatPr baseColWidth="10" defaultColWidth="8.83203125" defaultRowHeight="14" x14ac:dyDescent="0"/>
  <sheetData>
    <row r="1" spans="1:14">
      <c r="A1" t="s">
        <v>3</v>
      </c>
      <c r="B1" t="s">
        <v>1</v>
      </c>
      <c r="D1" t="s">
        <v>3</v>
      </c>
      <c r="E1" t="s">
        <v>1</v>
      </c>
      <c r="M1" t="s">
        <v>3</v>
      </c>
      <c r="N1" t="s">
        <v>1</v>
      </c>
    </row>
    <row r="2" spans="1:14">
      <c r="A2">
        <v>0</v>
      </c>
      <c r="B2" t="s">
        <v>7</v>
      </c>
      <c r="D2">
        <v>0</v>
      </c>
      <c r="E2" t="b">
        <v>0</v>
      </c>
      <c r="M2">
        <v>0</v>
      </c>
      <c r="N2" t="s">
        <v>7</v>
      </c>
    </row>
    <row r="3" spans="1:14">
      <c r="A3">
        <v>1</v>
      </c>
      <c r="B3" t="s">
        <v>7</v>
      </c>
      <c r="D3">
        <v>1</v>
      </c>
      <c r="E3" t="b">
        <v>0</v>
      </c>
      <c r="H3" s="2" t="s">
        <v>10</v>
      </c>
      <c r="I3" t="s">
        <v>146</v>
      </c>
      <c r="M3">
        <v>1</v>
      </c>
      <c r="N3" t="s">
        <v>7</v>
      </c>
    </row>
    <row r="4" spans="1:14">
      <c r="A4">
        <v>2</v>
      </c>
      <c r="B4" t="s">
        <v>7</v>
      </c>
      <c r="D4">
        <v>2</v>
      </c>
      <c r="E4" t="b">
        <v>0</v>
      </c>
      <c r="H4" t="s">
        <v>164</v>
      </c>
      <c r="M4">
        <v>2</v>
      </c>
      <c r="N4" t="s">
        <v>7</v>
      </c>
    </row>
    <row r="5" spans="1:14">
      <c r="A5">
        <v>3</v>
      </c>
      <c r="B5" t="s">
        <v>7</v>
      </c>
      <c r="D5">
        <v>3</v>
      </c>
      <c r="E5" t="b">
        <v>0</v>
      </c>
      <c r="M5">
        <v>3</v>
      </c>
      <c r="N5" t="s">
        <v>7</v>
      </c>
    </row>
    <row r="6" spans="1:14">
      <c r="A6">
        <v>4</v>
      </c>
      <c r="B6" t="s">
        <v>7</v>
      </c>
      <c r="D6">
        <v>4</v>
      </c>
      <c r="E6" t="b">
        <v>0</v>
      </c>
      <c r="H6" s="28" t="s">
        <v>1</v>
      </c>
      <c r="I6" s="29" t="str">
        <f>IF(I3="Applied Science",VLOOKUP(J15,A2:B99,2,FALSE))</f>
        <v>Level 2 Pass</v>
      </c>
      <c r="J6" t="str">
        <f>IF(I6=FALSE,VLOOKUP(I17,A2:B99,2,FALSE),I6)</f>
        <v>Level 2 Pass</v>
      </c>
      <c r="M6">
        <v>4</v>
      </c>
      <c r="N6" t="s">
        <v>7</v>
      </c>
    </row>
    <row r="7" spans="1:14">
      <c r="A7">
        <v>5</v>
      </c>
      <c r="B7" t="s">
        <v>7</v>
      </c>
      <c r="D7">
        <v>5</v>
      </c>
      <c r="E7" t="b">
        <v>0</v>
      </c>
      <c r="M7">
        <v>5</v>
      </c>
      <c r="N7" t="s">
        <v>7</v>
      </c>
    </row>
    <row r="8" spans="1:14">
      <c r="A8">
        <v>6</v>
      </c>
      <c r="B8" t="s">
        <v>7</v>
      </c>
      <c r="D8">
        <v>6</v>
      </c>
      <c r="E8" t="b">
        <v>0</v>
      </c>
      <c r="M8">
        <v>6</v>
      </c>
      <c r="N8" t="s">
        <v>7</v>
      </c>
    </row>
    <row r="9" spans="1:14">
      <c r="A9">
        <v>7</v>
      </c>
      <c r="B9" t="s">
        <v>7</v>
      </c>
      <c r="D9">
        <v>7</v>
      </c>
      <c r="E9" t="b">
        <v>0</v>
      </c>
      <c r="H9" t="s">
        <v>158</v>
      </c>
      <c r="I9">
        <v>6</v>
      </c>
      <c r="M9">
        <v>7</v>
      </c>
      <c r="N9" t="s">
        <v>7</v>
      </c>
    </row>
    <row r="10" spans="1:14">
      <c r="A10">
        <v>8</v>
      </c>
      <c r="B10" t="s">
        <v>7</v>
      </c>
      <c r="D10">
        <v>8</v>
      </c>
      <c r="E10" t="b">
        <v>0</v>
      </c>
      <c r="H10" t="s">
        <v>159</v>
      </c>
      <c r="I10">
        <v>12</v>
      </c>
      <c r="M10">
        <v>8</v>
      </c>
      <c r="N10" t="s">
        <v>7</v>
      </c>
    </row>
    <row r="11" spans="1:14">
      <c r="A11">
        <v>9</v>
      </c>
      <c r="B11" t="s">
        <v>7</v>
      </c>
      <c r="D11">
        <v>9</v>
      </c>
      <c r="E11" t="b">
        <v>0</v>
      </c>
      <c r="H11" t="s">
        <v>160</v>
      </c>
      <c r="I11">
        <v>24</v>
      </c>
      <c r="M11">
        <v>9</v>
      </c>
      <c r="N11" t="s">
        <v>7</v>
      </c>
    </row>
    <row r="12" spans="1:14">
      <c r="A12">
        <v>10</v>
      </c>
      <c r="B12" t="s">
        <v>7</v>
      </c>
      <c r="D12">
        <v>10</v>
      </c>
      <c r="E12" t="b">
        <v>0</v>
      </c>
      <c r="H12" t="s">
        <v>161</v>
      </c>
      <c r="I12">
        <v>18</v>
      </c>
      <c r="M12">
        <v>10</v>
      </c>
      <c r="N12" t="s">
        <v>7</v>
      </c>
    </row>
    <row r="13" spans="1:14">
      <c r="A13">
        <v>11</v>
      </c>
      <c r="B13" t="s">
        <v>7</v>
      </c>
      <c r="D13">
        <v>11</v>
      </c>
      <c r="E13" t="b">
        <v>0</v>
      </c>
      <c r="J13" t="s">
        <v>146</v>
      </c>
      <c r="M13">
        <v>11</v>
      </c>
      <c r="N13" t="s">
        <v>7</v>
      </c>
    </row>
    <row r="14" spans="1:14">
      <c r="A14">
        <v>12</v>
      </c>
      <c r="B14" t="s">
        <v>7</v>
      </c>
      <c r="D14">
        <v>12</v>
      </c>
      <c r="E14" t="b">
        <v>0</v>
      </c>
      <c r="H14" t="s">
        <v>162</v>
      </c>
      <c r="I14">
        <f>SUM(I9:I10)</f>
        <v>18</v>
      </c>
      <c r="M14">
        <v>12</v>
      </c>
      <c r="N14" t="s">
        <v>7</v>
      </c>
    </row>
    <row r="15" spans="1:14">
      <c r="A15">
        <v>13</v>
      </c>
      <c r="B15" t="s">
        <v>7</v>
      </c>
      <c r="D15">
        <v>13</v>
      </c>
      <c r="E15" t="b">
        <v>0</v>
      </c>
      <c r="H15" t="s">
        <v>163</v>
      </c>
      <c r="I15">
        <f>SUM(I9:I12)</f>
        <v>60</v>
      </c>
      <c r="J15">
        <f>SUM(I9:I12)</f>
        <v>60</v>
      </c>
      <c r="M15">
        <v>13</v>
      </c>
      <c r="N15" t="s">
        <v>7</v>
      </c>
    </row>
    <row r="16" spans="1:14">
      <c r="A16">
        <v>14</v>
      </c>
      <c r="B16" t="s">
        <v>7</v>
      </c>
      <c r="D16">
        <v>14</v>
      </c>
      <c r="E16" t="b">
        <v>0</v>
      </c>
      <c r="M16">
        <v>14</v>
      </c>
      <c r="N16" t="s">
        <v>7</v>
      </c>
    </row>
    <row r="17" spans="1:14">
      <c r="A17">
        <v>15</v>
      </c>
      <c r="B17" t="s">
        <v>7</v>
      </c>
      <c r="D17">
        <v>15</v>
      </c>
      <c r="E17" t="b">
        <v>0</v>
      </c>
      <c r="I17" t="str">
        <f>IF(I14&lt;24,"Level 1", I15)</f>
        <v>Level 1</v>
      </c>
      <c r="M17">
        <v>15</v>
      </c>
      <c r="N17" t="s">
        <v>7</v>
      </c>
    </row>
    <row r="18" spans="1:14">
      <c r="A18">
        <v>16</v>
      </c>
      <c r="B18" t="s">
        <v>7</v>
      </c>
      <c r="D18">
        <v>16</v>
      </c>
      <c r="E18" t="b">
        <v>0</v>
      </c>
      <c r="M18">
        <v>16</v>
      </c>
      <c r="N18" t="s">
        <v>7</v>
      </c>
    </row>
    <row r="19" spans="1:14">
      <c r="A19">
        <v>17</v>
      </c>
      <c r="B19" t="s">
        <v>7</v>
      </c>
      <c r="D19">
        <v>17</v>
      </c>
      <c r="E19" t="b">
        <v>0</v>
      </c>
      <c r="M19">
        <v>17</v>
      </c>
      <c r="N19" t="s">
        <v>7</v>
      </c>
    </row>
    <row r="20" spans="1:14">
      <c r="A20">
        <v>18</v>
      </c>
      <c r="B20" t="s">
        <v>7</v>
      </c>
      <c r="D20">
        <v>18</v>
      </c>
      <c r="E20" t="b">
        <v>0</v>
      </c>
      <c r="M20">
        <v>18</v>
      </c>
      <c r="N20" t="s">
        <v>7</v>
      </c>
    </row>
    <row r="21" spans="1:14">
      <c r="A21">
        <v>19</v>
      </c>
      <c r="B21" t="s">
        <v>7</v>
      </c>
      <c r="D21">
        <v>19</v>
      </c>
      <c r="E21" t="b">
        <v>0</v>
      </c>
      <c r="M21">
        <v>19</v>
      </c>
      <c r="N21" t="s">
        <v>7</v>
      </c>
    </row>
    <row r="22" spans="1:14">
      <c r="A22">
        <v>20</v>
      </c>
      <c r="B22" t="s">
        <v>7</v>
      </c>
      <c r="D22">
        <v>20</v>
      </c>
      <c r="E22" t="b">
        <v>0</v>
      </c>
      <c r="M22">
        <v>20</v>
      </c>
      <c r="N22" t="s">
        <v>7</v>
      </c>
    </row>
    <row r="23" spans="1:14">
      <c r="A23">
        <v>21</v>
      </c>
      <c r="B23" t="s">
        <v>7</v>
      </c>
      <c r="D23">
        <v>21</v>
      </c>
      <c r="E23" t="b">
        <v>0</v>
      </c>
      <c r="M23">
        <v>21</v>
      </c>
      <c r="N23" t="s">
        <v>7</v>
      </c>
    </row>
    <row r="24" spans="1:14">
      <c r="A24">
        <v>22</v>
      </c>
      <c r="B24" t="s">
        <v>7</v>
      </c>
      <c r="D24">
        <v>22</v>
      </c>
      <c r="E24" t="b">
        <v>0</v>
      </c>
      <c r="M24">
        <v>22</v>
      </c>
      <c r="N24" t="s">
        <v>7</v>
      </c>
    </row>
    <row r="25" spans="1:14">
      <c r="A25">
        <v>23</v>
      </c>
      <c r="B25" t="s">
        <v>7</v>
      </c>
      <c r="D25">
        <v>23</v>
      </c>
      <c r="E25" t="b">
        <v>0</v>
      </c>
      <c r="M25">
        <v>23</v>
      </c>
      <c r="N25" t="s">
        <v>7</v>
      </c>
    </row>
    <row r="26" spans="1:14">
      <c r="A26">
        <v>24</v>
      </c>
      <c r="B26" t="s">
        <v>8</v>
      </c>
      <c r="D26">
        <v>24</v>
      </c>
      <c r="E26" t="b">
        <v>1</v>
      </c>
      <c r="M26">
        <v>24</v>
      </c>
      <c r="N26" t="s">
        <v>7</v>
      </c>
    </row>
    <row r="27" spans="1:14">
      <c r="A27">
        <v>25</v>
      </c>
      <c r="B27" t="s">
        <v>8</v>
      </c>
      <c r="D27">
        <v>25</v>
      </c>
      <c r="E27" t="b">
        <v>1</v>
      </c>
      <c r="M27">
        <v>25</v>
      </c>
      <c r="N27" t="s">
        <v>7</v>
      </c>
    </row>
    <row r="28" spans="1:14">
      <c r="A28">
        <v>26</v>
      </c>
      <c r="B28" t="s">
        <v>8</v>
      </c>
      <c r="D28">
        <v>26</v>
      </c>
      <c r="E28" t="b">
        <v>1</v>
      </c>
      <c r="M28">
        <v>26</v>
      </c>
      <c r="N28" t="s">
        <v>7</v>
      </c>
    </row>
    <row r="29" spans="1:14">
      <c r="A29">
        <v>27</v>
      </c>
      <c r="B29" t="s">
        <v>8</v>
      </c>
      <c r="D29">
        <v>27</v>
      </c>
      <c r="E29" t="b">
        <v>1</v>
      </c>
      <c r="M29">
        <v>27</v>
      </c>
      <c r="N29" t="s">
        <v>7</v>
      </c>
    </row>
    <row r="30" spans="1:14">
      <c r="A30">
        <v>28</v>
      </c>
      <c r="B30" t="s">
        <v>8</v>
      </c>
      <c r="D30">
        <v>28</v>
      </c>
      <c r="E30" t="b">
        <v>1</v>
      </c>
      <c r="M30">
        <v>28</v>
      </c>
      <c r="N30" t="s">
        <v>7</v>
      </c>
    </row>
    <row r="31" spans="1:14">
      <c r="A31">
        <v>29</v>
      </c>
      <c r="B31" t="s">
        <v>8</v>
      </c>
      <c r="D31">
        <v>29</v>
      </c>
      <c r="E31" t="b">
        <v>1</v>
      </c>
      <c r="M31">
        <v>29</v>
      </c>
      <c r="N31" t="s">
        <v>7</v>
      </c>
    </row>
    <row r="32" spans="1:14">
      <c r="A32">
        <v>30</v>
      </c>
      <c r="B32" t="s">
        <v>8</v>
      </c>
      <c r="D32">
        <v>30</v>
      </c>
      <c r="E32" t="b">
        <v>1</v>
      </c>
      <c r="M32">
        <v>30</v>
      </c>
      <c r="N32" t="s">
        <v>7</v>
      </c>
    </row>
    <row r="33" spans="1:14">
      <c r="A33">
        <v>31</v>
      </c>
      <c r="B33" t="s">
        <v>8</v>
      </c>
      <c r="D33">
        <v>31</v>
      </c>
      <c r="E33" t="b">
        <v>1</v>
      </c>
      <c r="M33">
        <v>31</v>
      </c>
      <c r="N33" t="s">
        <v>7</v>
      </c>
    </row>
    <row r="34" spans="1:14">
      <c r="A34">
        <v>32</v>
      </c>
      <c r="B34" t="s">
        <v>8</v>
      </c>
      <c r="D34">
        <v>32</v>
      </c>
      <c r="E34" t="b">
        <v>1</v>
      </c>
      <c r="M34">
        <v>32</v>
      </c>
      <c r="N34" t="s">
        <v>7</v>
      </c>
    </row>
    <row r="35" spans="1:14">
      <c r="A35">
        <v>33</v>
      </c>
      <c r="B35" t="s">
        <v>8</v>
      </c>
      <c r="D35">
        <v>33</v>
      </c>
      <c r="E35" t="b">
        <v>1</v>
      </c>
      <c r="M35">
        <v>33</v>
      </c>
      <c r="N35" t="s">
        <v>7</v>
      </c>
    </row>
    <row r="36" spans="1:14">
      <c r="A36">
        <v>34</v>
      </c>
      <c r="B36" t="s">
        <v>8</v>
      </c>
      <c r="D36">
        <v>34</v>
      </c>
      <c r="E36" t="b">
        <v>1</v>
      </c>
      <c r="M36">
        <v>34</v>
      </c>
      <c r="N36" t="s">
        <v>7</v>
      </c>
    </row>
    <row r="37" spans="1:14">
      <c r="A37">
        <v>35</v>
      </c>
      <c r="B37" t="s">
        <v>8</v>
      </c>
      <c r="D37">
        <v>35</v>
      </c>
      <c r="E37" t="b">
        <v>1</v>
      </c>
      <c r="M37">
        <v>35</v>
      </c>
      <c r="N37" t="s">
        <v>7</v>
      </c>
    </row>
    <row r="38" spans="1:14">
      <c r="A38">
        <v>36</v>
      </c>
      <c r="B38" t="s">
        <v>8</v>
      </c>
      <c r="D38">
        <v>36</v>
      </c>
      <c r="E38" t="b">
        <v>1</v>
      </c>
      <c r="M38">
        <v>36</v>
      </c>
      <c r="N38" t="s">
        <v>7</v>
      </c>
    </row>
    <row r="39" spans="1:14">
      <c r="A39">
        <v>37</v>
      </c>
      <c r="B39" t="s">
        <v>8</v>
      </c>
      <c r="D39">
        <v>37</v>
      </c>
      <c r="E39" t="b">
        <v>1</v>
      </c>
      <c r="M39">
        <v>37</v>
      </c>
      <c r="N39" t="s">
        <v>7</v>
      </c>
    </row>
    <row r="40" spans="1:14">
      <c r="A40">
        <v>38</v>
      </c>
      <c r="B40" t="s">
        <v>8</v>
      </c>
      <c r="D40">
        <v>38</v>
      </c>
      <c r="E40" t="b">
        <v>1</v>
      </c>
      <c r="M40">
        <v>38</v>
      </c>
      <c r="N40" t="s">
        <v>7</v>
      </c>
    </row>
    <row r="41" spans="1:14">
      <c r="A41">
        <v>39</v>
      </c>
      <c r="B41" t="s">
        <v>8</v>
      </c>
      <c r="D41">
        <v>39</v>
      </c>
      <c r="E41" t="b">
        <v>1</v>
      </c>
      <c r="M41">
        <v>39</v>
      </c>
      <c r="N41" t="s">
        <v>7</v>
      </c>
    </row>
    <row r="42" spans="1:14">
      <c r="A42">
        <v>40</v>
      </c>
      <c r="B42" t="s">
        <v>8</v>
      </c>
      <c r="D42">
        <v>40</v>
      </c>
      <c r="E42" t="b">
        <v>1</v>
      </c>
      <c r="M42">
        <v>40</v>
      </c>
      <c r="N42" t="s">
        <v>7</v>
      </c>
    </row>
    <row r="43" spans="1:14">
      <c r="A43">
        <v>41</v>
      </c>
      <c r="B43" t="s">
        <v>8</v>
      </c>
      <c r="D43">
        <v>41</v>
      </c>
      <c r="E43" t="b">
        <v>1</v>
      </c>
      <c r="M43">
        <v>41</v>
      </c>
      <c r="N43" t="s">
        <v>7</v>
      </c>
    </row>
    <row r="44" spans="1:14">
      <c r="A44">
        <v>42</v>
      </c>
      <c r="B44" t="s">
        <v>8</v>
      </c>
      <c r="D44">
        <v>42</v>
      </c>
      <c r="E44" t="b">
        <v>1</v>
      </c>
      <c r="M44">
        <v>42</v>
      </c>
      <c r="N44" t="s">
        <v>7</v>
      </c>
    </row>
    <row r="45" spans="1:14">
      <c r="A45">
        <v>43</v>
      </c>
      <c r="B45" t="s">
        <v>8</v>
      </c>
      <c r="D45">
        <v>43</v>
      </c>
      <c r="E45" t="b">
        <v>1</v>
      </c>
      <c r="M45">
        <v>43</v>
      </c>
      <c r="N45" t="s">
        <v>7</v>
      </c>
    </row>
    <row r="46" spans="1:14">
      <c r="A46">
        <v>44</v>
      </c>
      <c r="B46" t="s">
        <v>8</v>
      </c>
      <c r="D46">
        <v>44</v>
      </c>
      <c r="E46" t="b">
        <v>1</v>
      </c>
      <c r="M46">
        <v>44</v>
      </c>
      <c r="N46" t="s">
        <v>7</v>
      </c>
    </row>
    <row r="47" spans="1:14">
      <c r="A47">
        <v>45</v>
      </c>
      <c r="B47" t="s">
        <v>8</v>
      </c>
      <c r="D47">
        <v>45</v>
      </c>
      <c r="E47" t="b">
        <v>1</v>
      </c>
      <c r="M47">
        <v>45</v>
      </c>
      <c r="N47" t="s">
        <v>7</v>
      </c>
    </row>
    <row r="48" spans="1:14">
      <c r="A48">
        <v>46</v>
      </c>
      <c r="B48" t="s">
        <v>8</v>
      </c>
      <c r="D48">
        <v>46</v>
      </c>
      <c r="E48" t="b">
        <v>1</v>
      </c>
      <c r="M48">
        <v>46</v>
      </c>
      <c r="N48" t="s">
        <v>7</v>
      </c>
    </row>
    <row r="49" spans="1:14">
      <c r="A49">
        <v>47</v>
      </c>
      <c r="B49" t="s">
        <v>8</v>
      </c>
      <c r="D49">
        <v>47</v>
      </c>
      <c r="E49" t="b">
        <v>1</v>
      </c>
      <c r="M49">
        <v>47</v>
      </c>
      <c r="N49" t="s">
        <v>7</v>
      </c>
    </row>
    <row r="50" spans="1:14">
      <c r="A50">
        <v>48</v>
      </c>
      <c r="B50" t="s">
        <v>154</v>
      </c>
      <c r="D50">
        <v>48</v>
      </c>
      <c r="E50" t="b">
        <v>1</v>
      </c>
      <c r="M50">
        <v>48</v>
      </c>
      <c r="N50" t="s">
        <v>8</v>
      </c>
    </row>
    <row r="51" spans="1:14">
      <c r="A51">
        <v>49</v>
      </c>
      <c r="B51" t="s">
        <v>154</v>
      </c>
      <c r="M51">
        <v>49</v>
      </c>
      <c r="N51" t="s">
        <v>8</v>
      </c>
    </row>
    <row r="52" spans="1:14">
      <c r="A52">
        <v>50</v>
      </c>
      <c r="B52" t="s">
        <v>154</v>
      </c>
      <c r="M52">
        <v>50</v>
      </c>
      <c r="N52" t="s">
        <v>8</v>
      </c>
    </row>
    <row r="53" spans="1:14">
      <c r="A53">
        <v>51</v>
      </c>
      <c r="B53" t="s">
        <v>154</v>
      </c>
      <c r="M53">
        <v>51</v>
      </c>
      <c r="N53" t="s">
        <v>8</v>
      </c>
    </row>
    <row r="54" spans="1:14">
      <c r="A54">
        <v>52</v>
      </c>
      <c r="B54" t="s">
        <v>154</v>
      </c>
      <c r="M54">
        <v>52</v>
      </c>
      <c r="N54" t="s">
        <v>8</v>
      </c>
    </row>
    <row r="55" spans="1:14">
      <c r="A55">
        <v>53</v>
      </c>
      <c r="B55" t="s">
        <v>154</v>
      </c>
      <c r="M55">
        <v>53</v>
      </c>
      <c r="N55" t="s">
        <v>8</v>
      </c>
    </row>
    <row r="56" spans="1:14">
      <c r="A56">
        <v>54</v>
      </c>
      <c r="B56" t="s">
        <v>154</v>
      </c>
      <c r="M56">
        <v>54</v>
      </c>
      <c r="N56" t="s">
        <v>8</v>
      </c>
    </row>
    <row r="57" spans="1:14">
      <c r="A57">
        <v>55</v>
      </c>
      <c r="B57" t="s">
        <v>154</v>
      </c>
      <c r="M57">
        <v>55</v>
      </c>
      <c r="N57" t="s">
        <v>8</v>
      </c>
    </row>
    <row r="58" spans="1:14">
      <c r="A58">
        <v>56</v>
      </c>
      <c r="B58" t="s">
        <v>154</v>
      </c>
      <c r="M58">
        <v>56</v>
      </c>
      <c r="N58" t="s">
        <v>8</v>
      </c>
    </row>
    <row r="59" spans="1:14">
      <c r="A59">
        <v>57</v>
      </c>
      <c r="B59" t="s">
        <v>154</v>
      </c>
      <c r="M59">
        <v>57</v>
      </c>
      <c r="N59" t="s">
        <v>8</v>
      </c>
    </row>
    <row r="60" spans="1:14">
      <c r="A60">
        <v>58</v>
      </c>
      <c r="B60" t="s">
        <v>154</v>
      </c>
      <c r="M60">
        <v>58</v>
      </c>
      <c r="N60" t="s">
        <v>8</v>
      </c>
    </row>
    <row r="61" spans="1:14">
      <c r="A61">
        <v>59</v>
      </c>
      <c r="B61" t="s">
        <v>154</v>
      </c>
      <c r="M61">
        <v>59</v>
      </c>
      <c r="N61" t="s">
        <v>8</v>
      </c>
    </row>
    <row r="62" spans="1:14">
      <c r="A62">
        <v>60</v>
      </c>
      <c r="B62" t="s">
        <v>154</v>
      </c>
      <c r="M62">
        <v>60</v>
      </c>
      <c r="N62" t="s">
        <v>8</v>
      </c>
    </row>
    <row r="63" spans="1:14">
      <c r="A63">
        <v>61</v>
      </c>
      <c r="B63" t="s">
        <v>154</v>
      </c>
      <c r="M63">
        <v>61</v>
      </c>
      <c r="N63" t="s">
        <v>8</v>
      </c>
    </row>
    <row r="64" spans="1:14">
      <c r="A64">
        <v>62</v>
      </c>
      <c r="B64" t="s">
        <v>154</v>
      </c>
      <c r="M64">
        <v>62</v>
      </c>
      <c r="N64" t="s">
        <v>8</v>
      </c>
    </row>
    <row r="65" spans="1:14">
      <c r="A65">
        <v>63</v>
      </c>
      <c r="B65" t="s">
        <v>154</v>
      </c>
      <c r="M65">
        <v>63</v>
      </c>
      <c r="N65" t="s">
        <v>8</v>
      </c>
    </row>
    <row r="66" spans="1:14">
      <c r="A66">
        <v>64</v>
      </c>
      <c r="B66" t="s">
        <v>154</v>
      </c>
      <c r="M66">
        <v>64</v>
      </c>
      <c r="N66" t="s">
        <v>8</v>
      </c>
    </row>
    <row r="67" spans="1:14">
      <c r="A67">
        <v>65</v>
      </c>
      <c r="B67" t="s">
        <v>154</v>
      </c>
      <c r="M67">
        <v>65</v>
      </c>
      <c r="N67" t="s">
        <v>8</v>
      </c>
    </row>
    <row r="68" spans="1:14">
      <c r="A68">
        <v>66</v>
      </c>
      <c r="B68" t="s">
        <v>157</v>
      </c>
      <c r="M68">
        <v>66</v>
      </c>
      <c r="N68" t="s">
        <v>8</v>
      </c>
    </row>
    <row r="69" spans="1:14">
      <c r="A69">
        <v>67</v>
      </c>
      <c r="B69" t="s">
        <v>157</v>
      </c>
      <c r="M69">
        <v>67</v>
      </c>
      <c r="N69" t="s">
        <v>8</v>
      </c>
    </row>
    <row r="70" spans="1:14">
      <c r="A70">
        <v>68</v>
      </c>
      <c r="B70" t="s">
        <v>157</v>
      </c>
      <c r="M70">
        <v>68</v>
      </c>
      <c r="N70" t="s">
        <v>8</v>
      </c>
    </row>
    <row r="71" spans="1:14">
      <c r="A71">
        <v>69</v>
      </c>
      <c r="B71" t="s">
        <v>157</v>
      </c>
      <c r="M71">
        <v>69</v>
      </c>
      <c r="N71" t="s">
        <v>8</v>
      </c>
    </row>
    <row r="72" spans="1:14">
      <c r="A72">
        <v>70</v>
      </c>
      <c r="B72" t="s">
        <v>157</v>
      </c>
      <c r="M72">
        <v>70</v>
      </c>
      <c r="N72" t="s">
        <v>8</v>
      </c>
    </row>
    <row r="73" spans="1:14">
      <c r="A73">
        <v>71</v>
      </c>
      <c r="B73" t="s">
        <v>157</v>
      </c>
      <c r="M73">
        <v>71</v>
      </c>
      <c r="N73" t="s">
        <v>8</v>
      </c>
    </row>
    <row r="74" spans="1:14">
      <c r="A74">
        <v>72</v>
      </c>
      <c r="B74" t="s">
        <v>157</v>
      </c>
      <c r="M74">
        <v>72</v>
      </c>
      <c r="N74" t="s">
        <v>8</v>
      </c>
    </row>
    <row r="75" spans="1:14">
      <c r="A75">
        <v>73</v>
      </c>
      <c r="B75" t="s">
        <v>157</v>
      </c>
      <c r="M75">
        <v>73</v>
      </c>
      <c r="N75" t="s">
        <v>8</v>
      </c>
    </row>
    <row r="76" spans="1:14">
      <c r="A76">
        <v>74</v>
      </c>
      <c r="B76" t="s">
        <v>157</v>
      </c>
      <c r="M76">
        <v>74</v>
      </c>
      <c r="N76" t="s">
        <v>8</v>
      </c>
    </row>
    <row r="77" spans="1:14">
      <c r="A77">
        <v>75</v>
      </c>
      <c r="B77" t="s">
        <v>157</v>
      </c>
      <c r="M77">
        <v>75</v>
      </c>
      <c r="N77" t="s">
        <v>8</v>
      </c>
    </row>
    <row r="78" spans="1:14">
      <c r="A78">
        <v>76</v>
      </c>
      <c r="B78" t="s">
        <v>157</v>
      </c>
      <c r="M78">
        <v>76</v>
      </c>
      <c r="N78" t="s">
        <v>8</v>
      </c>
    </row>
    <row r="79" spans="1:14">
      <c r="A79">
        <v>77</v>
      </c>
      <c r="B79" t="s">
        <v>157</v>
      </c>
      <c r="M79">
        <v>77</v>
      </c>
      <c r="N79" t="s">
        <v>8</v>
      </c>
    </row>
    <row r="80" spans="1:14">
      <c r="A80">
        <v>78</v>
      </c>
      <c r="B80" t="s">
        <v>157</v>
      </c>
      <c r="M80">
        <v>78</v>
      </c>
      <c r="N80" t="s">
        <v>8</v>
      </c>
    </row>
    <row r="81" spans="1:14">
      <c r="A81">
        <v>79</v>
      </c>
      <c r="B81" t="s">
        <v>157</v>
      </c>
      <c r="M81">
        <v>79</v>
      </c>
      <c r="N81" t="s">
        <v>8</v>
      </c>
    </row>
    <row r="82" spans="1:14">
      <c r="A82">
        <v>80</v>
      </c>
      <c r="B82" t="s">
        <v>157</v>
      </c>
      <c r="M82">
        <v>80</v>
      </c>
      <c r="N82" t="s">
        <v>8</v>
      </c>
    </row>
    <row r="83" spans="1:14">
      <c r="A83">
        <v>81</v>
      </c>
      <c r="B83" t="s">
        <v>157</v>
      </c>
      <c r="M83">
        <v>81</v>
      </c>
      <c r="N83" t="s">
        <v>8</v>
      </c>
    </row>
    <row r="84" spans="1:14">
      <c r="A84">
        <v>82</v>
      </c>
      <c r="B84" t="s">
        <v>157</v>
      </c>
      <c r="M84">
        <v>82</v>
      </c>
      <c r="N84" t="s">
        <v>8</v>
      </c>
    </row>
    <row r="85" spans="1:14">
      <c r="A85">
        <v>83</v>
      </c>
      <c r="B85" t="s">
        <v>157</v>
      </c>
      <c r="M85">
        <v>83</v>
      </c>
      <c r="N85" t="s">
        <v>8</v>
      </c>
    </row>
    <row r="86" spans="1:14">
      <c r="A86">
        <v>84</v>
      </c>
      <c r="B86" t="s">
        <v>155</v>
      </c>
      <c r="M86">
        <v>84</v>
      </c>
      <c r="N86" t="s">
        <v>8</v>
      </c>
    </row>
    <row r="87" spans="1:14">
      <c r="A87">
        <v>85</v>
      </c>
      <c r="B87" t="s">
        <v>155</v>
      </c>
      <c r="M87">
        <v>85</v>
      </c>
      <c r="N87" t="s">
        <v>8</v>
      </c>
    </row>
    <row r="88" spans="1:14">
      <c r="A88">
        <v>86</v>
      </c>
      <c r="B88" t="s">
        <v>155</v>
      </c>
      <c r="M88">
        <v>86</v>
      </c>
      <c r="N88" t="s">
        <v>8</v>
      </c>
    </row>
    <row r="89" spans="1:14">
      <c r="A89">
        <v>87</v>
      </c>
      <c r="B89" t="s">
        <v>155</v>
      </c>
      <c r="M89">
        <v>87</v>
      </c>
      <c r="N89" t="s">
        <v>8</v>
      </c>
    </row>
    <row r="90" spans="1:14">
      <c r="A90">
        <v>88</v>
      </c>
      <c r="B90" t="s">
        <v>155</v>
      </c>
      <c r="M90">
        <v>88</v>
      </c>
      <c r="N90" t="s">
        <v>8</v>
      </c>
    </row>
    <row r="91" spans="1:14">
      <c r="A91">
        <v>89</v>
      </c>
      <c r="B91" t="s">
        <v>155</v>
      </c>
      <c r="M91">
        <v>89</v>
      </c>
      <c r="N91" t="s">
        <v>8</v>
      </c>
    </row>
    <row r="92" spans="1:14">
      <c r="A92">
        <v>90</v>
      </c>
      <c r="B92" t="s">
        <v>156</v>
      </c>
      <c r="M92">
        <v>90</v>
      </c>
      <c r="N92" t="s">
        <v>8</v>
      </c>
    </row>
    <row r="93" spans="1:14">
      <c r="A93">
        <v>91</v>
      </c>
      <c r="B93" t="s">
        <v>156</v>
      </c>
      <c r="M93">
        <v>91</v>
      </c>
      <c r="N93" t="s">
        <v>8</v>
      </c>
    </row>
    <row r="94" spans="1:14">
      <c r="A94">
        <v>92</v>
      </c>
      <c r="B94" t="s">
        <v>156</v>
      </c>
      <c r="M94">
        <v>92</v>
      </c>
      <c r="N94" t="s">
        <v>8</v>
      </c>
    </row>
    <row r="95" spans="1:14">
      <c r="A95">
        <v>93</v>
      </c>
      <c r="B95" t="s">
        <v>156</v>
      </c>
      <c r="M95">
        <v>93</v>
      </c>
      <c r="N95" t="s">
        <v>8</v>
      </c>
    </row>
    <row r="96" spans="1:14">
      <c r="A96">
        <v>94</v>
      </c>
      <c r="B96" t="s">
        <v>156</v>
      </c>
      <c r="M96">
        <v>94</v>
      </c>
      <c r="N96" t="s">
        <v>8</v>
      </c>
    </row>
    <row r="97" spans="1:14">
      <c r="A97">
        <v>95</v>
      </c>
      <c r="B97" t="s">
        <v>156</v>
      </c>
      <c r="M97">
        <v>95</v>
      </c>
      <c r="N97" t="s">
        <v>8</v>
      </c>
    </row>
    <row r="98" spans="1:14">
      <c r="A98">
        <v>96</v>
      </c>
      <c r="B98" t="s">
        <v>156</v>
      </c>
      <c r="M98">
        <v>96</v>
      </c>
      <c r="N98" t="s">
        <v>227</v>
      </c>
    </row>
    <row r="99" spans="1:14">
      <c r="A99" t="s">
        <v>8</v>
      </c>
      <c r="B99" t="s">
        <v>8</v>
      </c>
      <c r="M99">
        <v>97</v>
      </c>
      <c r="N99" t="s">
        <v>227</v>
      </c>
    </row>
    <row r="100" spans="1:14">
      <c r="M100">
        <v>98</v>
      </c>
      <c r="N100" t="s">
        <v>227</v>
      </c>
    </row>
    <row r="101" spans="1:14">
      <c r="M101">
        <v>99</v>
      </c>
      <c r="N101" t="s">
        <v>227</v>
      </c>
    </row>
    <row r="102" spans="1:14">
      <c r="M102">
        <v>100</v>
      </c>
      <c r="N102" t="s">
        <v>227</v>
      </c>
    </row>
    <row r="103" spans="1:14">
      <c r="M103">
        <v>101</v>
      </c>
      <c r="N103" t="s">
        <v>227</v>
      </c>
    </row>
    <row r="104" spans="1:14">
      <c r="M104">
        <v>102</v>
      </c>
      <c r="N104" t="s">
        <v>227</v>
      </c>
    </row>
    <row r="105" spans="1:14">
      <c r="M105">
        <v>103</v>
      </c>
      <c r="N105" t="s">
        <v>227</v>
      </c>
    </row>
    <row r="106" spans="1:14">
      <c r="M106">
        <v>104</v>
      </c>
      <c r="N106" t="s">
        <v>227</v>
      </c>
    </row>
    <row r="107" spans="1:14">
      <c r="M107">
        <v>105</v>
      </c>
      <c r="N107" t="s">
        <v>227</v>
      </c>
    </row>
    <row r="108" spans="1:14">
      <c r="M108">
        <v>106</v>
      </c>
      <c r="N108" t="s">
        <v>227</v>
      </c>
    </row>
    <row r="109" spans="1:14">
      <c r="M109">
        <v>107</v>
      </c>
      <c r="N109" t="s">
        <v>227</v>
      </c>
    </row>
    <row r="110" spans="1:14">
      <c r="M110">
        <v>108</v>
      </c>
      <c r="N110" t="s">
        <v>227</v>
      </c>
    </row>
    <row r="111" spans="1:14">
      <c r="M111">
        <v>109</v>
      </c>
      <c r="N111" t="s">
        <v>227</v>
      </c>
    </row>
    <row r="112" spans="1:14">
      <c r="M112">
        <v>110</v>
      </c>
      <c r="N112" t="s">
        <v>227</v>
      </c>
    </row>
    <row r="113" spans="13:14">
      <c r="M113">
        <v>111</v>
      </c>
      <c r="N113" t="s">
        <v>227</v>
      </c>
    </row>
    <row r="114" spans="13:14">
      <c r="M114">
        <v>112</v>
      </c>
      <c r="N114" t="s">
        <v>227</v>
      </c>
    </row>
    <row r="115" spans="13:14">
      <c r="M115">
        <v>113</v>
      </c>
      <c r="N115" t="s">
        <v>227</v>
      </c>
    </row>
    <row r="116" spans="13:14">
      <c r="M116">
        <v>114</v>
      </c>
      <c r="N116" t="s">
        <v>228</v>
      </c>
    </row>
    <row r="117" spans="13:14">
      <c r="M117">
        <v>115</v>
      </c>
      <c r="N117" t="s">
        <v>228</v>
      </c>
    </row>
    <row r="118" spans="13:14">
      <c r="M118">
        <v>116</v>
      </c>
      <c r="N118" t="s">
        <v>228</v>
      </c>
    </row>
    <row r="119" spans="13:14">
      <c r="M119">
        <v>117</v>
      </c>
      <c r="N119" t="s">
        <v>228</v>
      </c>
    </row>
    <row r="120" spans="13:14">
      <c r="M120">
        <v>118</v>
      </c>
      <c r="N120" t="s">
        <v>228</v>
      </c>
    </row>
    <row r="121" spans="13:14">
      <c r="M121">
        <v>119</v>
      </c>
      <c r="N121" t="s">
        <v>228</v>
      </c>
    </row>
    <row r="122" spans="13:14">
      <c r="M122">
        <v>120</v>
      </c>
      <c r="N122" t="s">
        <v>228</v>
      </c>
    </row>
    <row r="123" spans="13:14">
      <c r="M123">
        <v>121</v>
      </c>
      <c r="N123" t="s">
        <v>228</v>
      </c>
    </row>
    <row r="124" spans="13:14">
      <c r="M124">
        <v>122</v>
      </c>
      <c r="N124" t="s">
        <v>228</v>
      </c>
    </row>
    <row r="125" spans="13:14">
      <c r="M125">
        <v>123</v>
      </c>
      <c r="N125" t="s">
        <v>228</v>
      </c>
    </row>
    <row r="126" spans="13:14">
      <c r="M126">
        <v>124</v>
      </c>
      <c r="N126" t="s">
        <v>228</v>
      </c>
    </row>
    <row r="127" spans="13:14">
      <c r="M127">
        <v>125</v>
      </c>
      <c r="N127" t="s">
        <v>228</v>
      </c>
    </row>
    <row r="128" spans="13:14">
      <c r="M128">
        <v>126</v>
      </c>
      <c r="N128" t="s">
        <v>228</v>
      </c>
    </row>
    <row r="129" spans="13:14">
      <c r="M129">
        <v>127</v>
      </c>
      <c r="N129" t="s">
        <v>228</v>
      </c>
    </row>
    <row r="130" spans="13:14">
      <c r="M130">
        <v>128</v>
      </c>
      <c r="N130" t="s">
        <v>228</v>
      </c>
    </row>
    <row r="131" spans="13:14">
      <c r="M131">
        <v>129</v>
      </c>
      <c r="N131" t="s">
        <v>228</v>
      </c>
    </row>
    <row r="132" spans="13:14">
      <c r="M132">
        <v>130</v>
      </c>
      <c r="N132" t="s">
        <v>228</v>
      </c>
    </row>
    <row r="133" spans="13:14">
      <c r="M133">
        <v>131</v>
      </c>
      <c r="N133" t="s">
        <v>228</v>
      </c>
    </row>
    <row r="134" spans="13:14">
      <c r="M134">
        <v>132</v>
      </c>
      <c r="N134" t="s">
        <v>229</v>
      </c>
    </row>
    <row r="135" spans="13:14">
      <c r="M135">
        <v>133</v>
      </c>
      <c r="N135" t="s">
        <v>229</v>
      </c>
    </row>
    <row r="136" spans="13:14">
      <c r="M136">
        <v>134</v>
      </c>
      <c r="N136" t="s">
        <v>229</v>
      </c>
    </row>
    <row r="137" spans="13:14">
      <c r="M137">
        <v>135</v>
      </c>
      <c r="N137" t="s">
        <v>229</v>
      </c>
    </row>
    <row r="138" spans="13:14">
      <c r="M138">
        <v>136</v>
      </c>
      <c r="N138" t="s">
        <v>229</v>
      </c>
    </row>
    <row r="139" spans="13:14">
      <c r="M139">
        <v>137</v>
      </c>
      <c r="N139" t="s">
        <v>229</v>
      </c>
    </row>
    <row r="140" spans="13:14">
      <c r="M140">
        <v>138</v>
      </c>
      <c r="N140" t="s">
        <v>229</v>
      </c>
    </row>
    <row r="141" spans="13:14">
      <c r="M141">
        <v>139</v>
      </c>
      <c r="N141" t="s">
        <v>229</v>
      </c>
    </row>
    <row r="142" spans="13:14">
      <c r="M142">
        <v>140</v>
      </c>
      <c r="N142" t="s">
        <v>229</v>
      </c>
    </row>
    <row r="143" spans="13:14">
      <c r="M143">
        <v>141</v>
      </c>
      <c r="N143" t="s">
        <v>229</v>
      </c>
    </row>
    <row r="144" spans="13:14">
      <c r="M144">
        <v>142</v>
      </c>
      <c r="N144" t="s">
        <v>229</v>
      </c>
    </row>
    <row r="145" spans="13:14">
      <c r="M145">
        <v>143</v>
      </c>
      <c r="N145" t="s">
        <v>229</v>
      </c>
    </row>
    <row r="146" spans="13:14">
      <c r="M146">
        <v>144</v>
      </c>
      <c r="N146" t="s">
        <v>229</v>
      </c>
    </row>
    <row r="147" spans="13:14">
      <c r="M147">
        <v>145</v>
      </c>
      <c r="N147" t="s">
        <v>229</v>
      </c>
    </row>
    <row r="148" spans="13:14">
      <c r="M148">
        <v>146</v>
      </c>
      <c r="N148" t="s">
        <v>229</v>
      </c>
    </row>
    <row r="149" spans="13:14">
      <c r="M149">
        <v>147</v>
      </c>
      <c r="N149" t="s">
        <v>229</v>
      </c>
    </row>
    <row r="150" spans="13:14">
      <c r="M150">
        <v>148</v>
      </c>
      <c r="N150" t="s">
        <v>229</v>
      </c>
    </row>
    <row r="151" spans="13:14">
      <c r="M151">
        <v>149</v>
      </c>
      <c r="N151" t="s">
        <v>229</v>
      </c>
    </row>
    <row r="152" spans="13:14">
      <c r="M152">
        <v>150</v>
      </c>
      <c r="N152" t="s">
        <v>230</v>
      </c>
    </row>
    <row r="153" spans="13:14">
      <c r="M153">
        <v>151</v>
      </c>
      <c r="N153" t="s">
        <v>230</v>
      </c>
    </row>
    <row r="154" spans="13:14">
      <c r="M154">
        <v>152</v>
      </c>
      <c r="N154" t="s">
        <v>230</v>
      </c>
    </row>
    <row r="155" spans="13:14">
      <c r="M155">
        <v>153</v>
      </c>
      <c r="N155" t="s">
        <v>230</v>
      </c>
    </row>
    <row r="156" spans="13:14">
      <c r="M156">
        <v>154</v>
      </c>
      <c r="N156" t="s">
        <v>230</v>
      </c>
    </row>
    <row r="157" spans="13:14">
      <c r="M157">
        <v>155</v>
      </c>
      <c r="N157" t="s">
        <v>230</v>
      </c>
    </row>
    <row r="158" spans="13:14">
      <c r="M158">
        <v>156</v>
      </c>
      <c r="N158" t="s">
        <v>230</v>
      </c>
    </row>
    <row r="159" spans="13:14">
      <c r="M159">
        <v>157</v>
      </c>
      <c r="N159" t="s">
        <v>230</v>
      </c>
    </row>
    <row r="160" spans="13:14">
      <c r="M160">
        <v>158</v>
      </c>
      <c r="N160" t="s">
        <v>230</v>
      </c>
    </row>
    <row r="161" spans="13:14">
      <c r="M161">
        <v>159</v>
      </c>
      <c r="N161" t="s">
        <v>230</v>
      </c>
    </row>
    <row r="162" spans="13:14">
      <c r="M162">
        <v>160</v>
      </c>
      <c r="N162" t="s">
        <v>230</v>
      </c>
    </row>
    <row r="163" spans="13:14">
      <c r="M163">
        <v>161</v>
      </c>
      <c r="N163" t="s">
        <v>230</v>
      </c>
    </row>
    <row r="164" spans="13:14">
      <c r="M164">
        <v>162</v>
      </c>
      <c r="N164" t="s">
        <v>230</v>
      </c>
    </row>
    <row r="165" spans="13:14">
      <c r="M165">
        <v>163</v>
      </c>
      <c r="N165" t="s">
        <v>230</v>
      </c>
    </row>
    <row r="166" spans="13:14">
      <c r="M166">
        <v>164</v>
      </c>
      <c r="N166" t="s">
        <v>230</v>
      </c>
    </row>
    <row r="167" spans="13:14">
      <c r="M167">
        <v>165</v>
      </c>
      <c r="N167" t="s">
        <v>230</v>
      </c>
    </row>
    <row r="168" spans="13:14">
      <c r="M168">
        <v>166</v>
      </c>
      <c r="N168" t="s">
        <v>230</v>
      </c>
    </row>
    <row r="169" spans="13:14">
      <c r="M169">
        <v>167</v>
      </c>
      <c r="N169" t="s">
        <v>230</v>
      </c>
    </row>
    <row r="170" spans="13:14">
      <c r="M170">
        <v>168</v>
      </c>
      <c r="N170" t="s">
        <v>231</v>
      </c>
    </row>
    <row r="171" spans="13:14">
      <c r="M171">
        <v>169</v>
      </c>
      <c r="N171" t="s">
        <v>231</v>
      </c>
    </row>
    <row r="172" spans="13:14">
      <c r="M172">
        <v>170</v>
      </c>
      <c r="N172" t="s">
        <v>231</v>
      </c>
    </row>
    <row r="173" spans="13:14">
      <c r="M173">
        <v>171</v>
      </c>
      <c r="N173" t="s">
        <v>231</v>
      </c>
    </row>
    <row r="174" spans="13:14">
      <c r="M174">
        <v>172</v>
      </c>
      <c r="N174" t="s">
        <v>231</v>
      </c>
    </row>
    <row r="175" spans="13:14">
      <c r="M175">
        <v>173</v>
      </c>
      <c r="N175" t="s">
        <v>231</v>
      </c>
    </row>
    <row r="176" spans="13:14">
      <c r="M176">
        <v>174</v>
      </c>
      <c r="N176" t="s">
        <v>232</v>
      </c>
    </row>
    <row r="177" spans="13:14">
      <c r="M177">
        <v>175</v>
      </c>
      <c r="N177" t="s">
        <v>232</v>
      </c>
    </row>
    <row r="178" spans="13:14">
      <c r="M178">
        <v>176</v>
      </c>
      <c r="N178" t="s">
        <v>232</v>
      </c>
    </row>
    <row r="179" spans="13:14">
      <c r="M179">
        <v>177</v>
      </c>
      <c r="N179" t="s">
        <v>232</v>
      </c>
    </row>
    <row r="180" spans="13:14">
      <c r="M180">
        <v>178</v>
      </c>
      <c r="N180" t="s">
        <v>232</v>
      </c>
    </row>
    <row r="181" spans="13:14">
      <c r="M181">
        <v>179</v>
      </c>
      <c r="N181" t="s">
        <v>232</v>
      </c>
    </row>
    <row r="182" spans="13:14">
      <c r="M182">
        <v>180</v>
      </c>
      <c r="N182" t="s">
        <v>233</v>
      </c>
    </row>
    <row r="183" spans="13:14">
      <c r="M183">
        <v>181</v>
      </c>
      <c r="N183" t="s">
        <v>233</v>
      </c>
    </row>
    <row r="184" spans="13:14">
      <c r="M184">
        <v>182</v>
      </c>
      <c r="N184" t="s">
        <v>233</v>
      </c>
    </row>
    <row r="185" spans="13:14">
      <c r="M185">
        <v>183</v>
      </c>
      <c r="N185" t="s">
        <v>233</v>
      </c>
    </row>
    <row r="186" spans="13:14">
      <c r="M186">
        <v>184</v>
      </c>
      <c r="N186" t="s">
        <v>233</v>
      </c>
    </row>
    <row r="187" spans="13:14">
      <c r="M187">
        <v>185</v>
      </c>
      <c r="N187" t="s">
        <v>233</v>
      </c>
    </row>
    <row r="188" spans="13:14">
      <c r="M188">
        <v>186</v>
      </c>
      <c r="N188" t="s">
        <v>233</v>
      </c>
    </row>
    <row r="189" spans="13:14">
      <c r="M189">
        <v>187</v>
      </c>
      <c r="N189" t="s">
        <v>233</v>
      </c>
    </row>
    <row r="190" spans="13:14">
      <c r="M190">
        <v>188</v>
      </c>
      <c r="N190" t="s">
        <v>233</v>
      </c>
    </row>
    <row r="191" spans="13:14">
      <c r="M191">
        <v>189</v>
      </c>
      <c r="N191" t="s">
        <v>233</v>
      </c>
    </row>
    <row r="192" spans="13:14">
      <c r="M192">
        <v>190</v>
      </c>
      <c r="N192" t="s">
        <v>233</v>
      </c>
    </row>
    <row r="193" spans="13:14">
      <c r="M193">
        <v>191</v>
      </c>
      <c r="N193" t="s">
        <v>233</v>
      </c>
    </row>
    <row r="194" spans="13:14">
      <c r="M194">
        <v>192</v>
      </c>
      <c r="N194" t="s">
        <v>233</v>
      </c>
    </row>
    <row r="195" spans="13:14">
      <c r="M195">
        <v>193</v>
      </c>
      <c r="N195" t="s">
        <v>233</v>
      </c>
    </row>
    <row r="196" spans="13:14">
      <c r="M196">
        <v>194</v>
      </c>
      <c r="N196" t="s">
        <v>233</v>
      </c>
    </row>
    <row r="197" spans="13:14">
      <c r="M197">
        <v>195</v>
      </c>
      <c r="N197" t="s">
        <v>233</v>
      </c>
    </row>
    <row r="198" spans="13:14">
      <c r="M198">
        <v>196</v>
      </c>
      <c r="N198" t="s">
        <v>233</v>
      </c>
    </row>
    <row r="199" spans="13:14">
      <c r="M199">
        <v>197</v>
      </c>
      <c r="N199" t="s">
        <v>233</v>
      </c>
    </row>
    <row r="200" spans="13:14">
      <c r="M200">
        <v>198</v>
      </c>
      <c r="N200" t="s">
        <v>233</v>
      </c>
    </row>
    <row r="201" spans="13:14">
      <c r="M201">
        <v>199</v>
      </c>
    </row>
    <row r="202" spans="13:14">
      <c r="M202">
        <v>200</v>
      </c>
    </row>
    <row r="203" spans="13:14">
      <c r="M203">
        <v>201</v>
      </c>
    </row>
    <row r="204" spans="13:14">
      <c r="M204">
        <v>202</v>
      </c>
    </row>
    <row r="205" spans="13:14">
      <c r="M205">
        <v>203</v>
      </c>
    </row>
    <row r="206" spans="13:14">
      <c r="M206">
        <v>204</v>
      </c>
    </row>
    <row r="207" spans="13:14">
      <c r="M207">
        <v>205</v>
      </c>
    </row>
    <row r="208" spans="13:14">
      <c r="M208">
        <v>206</v>
      </c>
    </row>
    <row r="209" spans="13:13">
      <c r="M209">
        <v>207</v>
      </c>
    </row>
    <row r="210" spans="13:13">
      <c r="M210">
        <v>208</v>
      </c>
    </row>
    <row r="211" spans="13:13">
      <c r="M211">
        <v>209</v>
      </c>
    </row>
    <row r="212" spans="13:13">
      <c r="M212">
        <v>210</v>
      </c>
    </row>
    <row r="213" spans="13:13">
      <c r="M213">
        <v>211</v>
      </c>
    </row>
    <row r="214" spans="13:13">
      <c r="M214">
        <v>212</v>
      </c>
    </row>
    <row r="215" spans="13:13">
      <c r="M215">
        <v>213</v>
      </c>
    </row>
    <row r="216" spans="13:13">
      <c r="M216">
        <v>214</v>
      </c>
    </row>
    <row r="217" spans="13:13">
      <c r="M217">
        <v>215</v>
      </c>
    </row>
    <row r="218" spans="13:13">
      <c r="M218">
        <v>216</v>
      </c>
    </row>
    <row r="219" spans="13:13">
      <c r="M219">
        <v>217</v>
      </c>
    </row>
    <row r="220" spans="13:13">
      <c r="M220">
        <v>218</v>
      </c>
    </row>
    <row r="221" spans="13:13">
      <c r="M221">
        <v>219</v>
      </c>
    </row>
    <row r="222" spans="13:13">
      <c r="M222">
        <v>220</v>
      </c>
    </row>
    <row r="223" spans="13:13">
      <c r="M223">
        <v>221</v>
      </c>
    </row>
    <row r="224" spans="13:13">
      <c r="M224">
        <v>222</v>
      </c>
    </row>
    <row r="225" spans="13:13">
      <c r="M225">
        <v>223</v>
      </c>
    </row>
    <row r="226" spans="13:13">
      <c r="M226">
        <v>224</v>
      </c>
    </row>
    <row r="227" spans="13:13">
      <c r="M227">
        <v>225</v>
      </c>
    </row>
    <row r="228" spans="13:13">
      <c r="M228">
        <v>226</v>
      </c>
    </row>
    <row r="229" spans="13:13">
      <c r="M229">
        <v>227</v>
      </c>
    </row>
    <row r="230" spans="13:13">
      <c r="M230">
        <v>228</v>
      </c>
    </row>
    <row r="231" spans="13:13">
      <c r="M231">
        <v>229</v>
      </c>
    </row>
    <row r="232" spans="13:13">
      <c r="M232">
        <v>230</v>
      </c>
    </row>
    <row r="233" spans="13:13">
      <c r="M233">
        <v>231</v>
      </c>
    </row>
    <row r="234" spans="13:13">
      <c r="M234">
        <v>232</v>
      </c>
    </row>
    <row r="235" spans="13:13">
      <c r="M235">
        <v>233</v>
      </c>
    </row>
    <row r="236" spans="13:13">
      <c r="M236">
        <v>234</v>
      </c>
    </row>
    <row r="237" spans="13:13">
      <c r="M237">
        <v>235</v>
      </c>
    </row>
    <row r="238" spans="13:13">
      <c r="M238">
        <v>236</v>
      </c>
    </row>
    <row r="239" spans="13:13">
      <c r="M239">
        <v>237</v>
      </c>
    </row>
    <row r="240" spans="13:13">
      <c r="M240">
        <v>238</v>
      </c>
    </row>
    <row r="241" spans="13:13">
      <c r="M241">
        <v>239</v>
      </c>
    </row>
    <row r="242" spans="13:13">
      <c r="M242">
        <v>240</v>
      </c>
    </row>
    <row r="243" spans="13:13">
      <c r="M243">
        <v>241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T2326"/>
  <sheetViews>
    <sheetView showGridLines="0" showRowColHeaders="0" workbookViewId="0">
      <selection activeCell="G5" sqref="G5"/>
    </sheetView>
  </sheetViews>
  <sheetFormatPr baseColWidth="10" defaultColWidth="0" defaultRowHeight="14" zeroHeight="1" x14ac:dyDescent="0"/>
  <cols>
    <col min="1" max="2" width="1" style="3" customWidth="1"/>
    <col min="3" max="3" width="0.83203125" style="3" customWidth="1"/>
    <col min="4" max="4" width="2.1640625" style="3" hidden="1" customWidth="1"/>
    <col min="5" max="5" width="12.6640625" style="3" customWidth="1"/>
    <col min="6" max="6" width="14.33203125" style="3" customWidth="1"/>
    <col min="7" max="7" width="63.1640625" style="3" customWidth="1"/>
    <col min="8" max="8" width="10.5" style="3" customWidth="1"/>
    <col min="9" max="9" width="13" style="3" customWidth="1"/>
    <col min="10" max="10" width="13" style="3" hidden="1" customWidth="1"/>
    <col min="11" max="11" width="10.33203125" style="3" customWidth="1"/>
    <col min="12" max="12" width="3.33203125" style="3" customWidth="1"/>
    <col min="13" max="13" width="19" style="3" customWidth="1"/>
    <col min="14" max="14" width="4.5" style="3" customWidth="1"/>
    <col min="15" max="15" width="5" style="3" customWidth="1"/>
    <col min="16" max="16" width="75.1640625" style="3" hidden="1" customWidth="1"/>
    <col min="17" max="17" width="6.83203125" style="3" hidden="1" customWidth="1"/>
    <col min="18" max="18" width="8.33203125" style="3" hidden="1" customWidth="1"/>
    <col min="19" max="19" width="8" style="3" hidden="1" customWidth="1"/>
    <col min="20" max="20" width="19.1640625" style="3" hidden="1" customWidth="1"/>
    <col min="21" max="21" width="48.6640625" style="3" hidden="1" customWidth="1"/>
    <col min="22" max="22" width="0" style="3" hidden="1" customWidth="1"/>
    <col min="23" max="23" width="10.33203125" style="3" hidden="1" customWidth="1"/>
    <col min="24" max="24" width="7.5" style="3" hidden="1" customWidth="1"/>
    <col min="25" max="25" width="9.1640625" style="3" hidden="1" customWidth="1"/>
    <col min="26" max="26" width="10.5" style="3" hidden="1" customWidth="1"/>
    <col min="27" max="27" width="9.5" style="3" hidden="1" customWidth="1"/>
    <col min="28" max="28" width="8.83203125" style="3" hidden="1" customWidth="1"/>
    <col min="29" max="29" width="0" style="3" hidden="1" customWidth="1"/>
    <col min="30" max="30" width="11.83203125" style="3" hidden="1" customWidth="1"/>
    <col min="31" max="31" width="11.5" style="3" hidden="1" customWidth="1"/>
    <col min="32" max="32" width="6.5" style="3" hidden="1" customWidth="1"/>
    <col min="33" max="33" width="9.1640625" style="3" hidden="1" customWidth="1"/>
    <col min="34" max="34" width="9.6640625" style="3" hidden="1" customWidth="1"/>
    <col min="35" max="35" width="8.83203125" style="3" hidden="1" customWidth="1"/>
    <col min="36" max="38" width="0" style="3" hidden="1" customWidth="1"/>
    <col min="39" max="42" width="9.1640625" style="3" hidden="1" customWidth="1"/>
    <col min="43" max="43" width="10" style="3" hidden="1" customWidth="1"/>
    <col min="44" max="44" width="0" style="3" hidden="1" customWidth="1"/>
    <col min="45" max="46" width="9.1640625" style="3" hidden="1" customWidth="1"/>
    <col min="47" max="16384" width="0" style="3" hidden="1"/>
  </cols>
  <sheetData>
    <row r="1" spans="1:46" ht="12.75" customHeight="1"/>
    <row r="2" spans="1:46" ht="19.5" customHeight="1">
      <c r="G2" s="73" t="s">
        <v>376</v>
      </c>
    </row>
    <row r="3" spans="1:46" ht="15" customHeight="1"/>
    <row r="4" spans="1:46" ht="15" customHeight="1"/>
    <row r="5" spans="1:46" ht="15" customHeight="1">
      <c r="E5" s="90" t="s">
        <v>384</v>
      </c>
      <c r="F5" s="8" t="s">
        <v>153</v>
      </c>
      <c r="G5" s="87"/>
    </row>
    <row r="6" spans="1:46" ht="15" customHeight="1"/>
    <row r="7" spans="1:46">
      <c r="H7" s="64" t="s">
        <v>383</v>
      </c>
      <c r="I7" s="63"/>
    </row>
    <row r="8" spans="1:46">
      <c r="A8" s="5"/>
      <c r="B8" s="35"/>
      <c r="C8" s="35"/>
      <c r="F8" s="65" t="s">
        <v>147</v>
      </c>
      <c r="G8" s="1" t="s">
        <v>377</v>
      </c>
      <c r="H8" s="1" t="s">
        <v>0</v>
      </c>
      <c r="I8" s="1" t="s">
        <v>1</v>
      </c>
      <c r="K8" s="1" t="s">
        <v>3</v>
      </c>
      <c r="M8" s="10"/>
      <c r="N8" s="10" t="s">
        <v>368</v>
      </c>
      <c r="AT8" s="3">
        <v>30</v>
      </c>
    </row>
    <row r="9" spans="1:46" ht="15.75" customHeight="1">
      <c r="A9" s="4"/>
      <c r="B9" s="35"/>
      <c r="C9" s="35"/>
      <c r="E9" s="8" t="s">
        <v>134</v>
      </c>
      <c r="F9" s="36" t="str">
        <f>IF(ISERROR(VLOOKUP(G9,'Cert Unit Data'!B3:D25,3,FALSE)),"",VLOOKUP(G9,'Cert Unit Data'!B3:D25,3,FALSE))</f>
        <v/>
      </c>
      <c r="G9" s="36" t="str">
        <f>IF(ISERROR(VLOOKUP(G5,'Cert Unit Data'!A3:B25,2,FALSE)),"",VLOOKUP(G5,'Cert Unit Data'!A3:B25,2,FALSE))</f>
        <v/>
      </c>
      <c r="H9" s="37" t="str">
        <f>IF(ISERROR(VLOOKUP(G9,'Cert Unit Data'!B3:D25,2,FALSE)),"",VLOOKUP(G9,'Cert Unit Data'!B3:D25,2,FALSE))</f>
        <v/>
      </c>
      <c r="I9" s="87"/>
      <c r="J9" s="3" t="b">
        <f>IF(I9="U",0,IF(I9="L1",2,IF(I9="P",4,IF(I9="M",6,IF(I9="D",8)))))</f>
        <v>0</v>
      </c>
      <c r="K9" s="77" t="str">
        <f>IF(ISERROR(IF(I9="","",J9*(H9/10))),"",IF(I9="","",J9*(H9/10)))</f>
        <v/>
      </c>
      <c r="M9" s="10" t="e">
        <f>K9+K10</f>
        <v>#VALUE!</v>
      </c>
      <c r="N9" s="10" t="str">
        <f>IF(K9&gt;K10,K9,K10)</f>
        <v/>
      </c>
      <c r="S9" s="157"/>
      <c r="Z9" s="3" t="e">
        <f>K9+K10</f>
        <v>#VALUE!</v>
      </c>
      <c r="AA9" s="3" t="str">
        <f>IF(K29&lt;48,"U",IF(AND(K29&gt;47,K29&lt;96),"Level 1",IF(AND(K29&gt;95,K29&lt;114,Z9&gt;23),"Level 2 PP",IF(AND(K29&gt;113,K29&lt;132,Z9&gt;23),"Level 2 MP",IF(AND(K29&gt;131,K29&lt;150,Z9&gt;23),"Level 2 MM",IF(AND(K29&gt;149,K29&lt;168,Z9&gt;23),"Level 2 DM",IF(AND(K29&gt;167,K29&lt;200,Z9&gt;23),Second)))))))</f>
        <v>U</v>
      </c>
      <c r="AT9" s="3">
        <v>60</v>
      </c>
    </row>
    <row r="10" spans="1:46" ht="15.75" customHeight="1">
      <c r="A10" s="4"/>
      <c r="B10" s="35"/>
      <c r="C10" s="35"/>
      <c r="E10" s="60"/>
      <c r="F10" s="36" t="str">
        <f>IF(ISERROR(VLOOKUP(G10,'Cert Unit Data'!G3:I25,3,FALSE)),"",VLOOKUP(G10,'Cert Unit Data'!G3:I25,3,FALSE))</f>
        <v/>
      </c>
      <c r="G10" s="36" t="str">
        <f>IF(ISERROR(VLOOKUP(G5,'Cert Unit Data'!F3:G25,2,FALSE)),"",VLOOKUP(G5,'Cert Unit Data'!F3:G25,2,FALSE))</f>
        <v/>
      </c>
      <c r="H10" s="38" t="str">
        <f>IF(ISERROR(VLOOKUP(G10,'Cert Unit Data'!G3:I25,2,FALSE)),"",VLOOKUP(G10,'Cert Unit Data'!G3:I25,2,FALSE))</f>
        <v/>
      </c>
      <c r="I10" s="87"/>
      <c r="J10" s="3" t="b">
        <f>IF(I10="U",0,IF(I10="L1",2,IF(I10="P",4,IF(I10="M",6,IF(I10="D",8)))))</f>
        <v>0</v>
      </c>
      <c r="K10" s="77" t="str">
        <f>IF(ISERROR(IF(I10="","",J10*(H10/10))),"",IF(I10="","",J10*(H10/10)))</f>
        <v/>
      </c>
      <c r="M10" s="10">
        <f>SUM(K9:K10,K12:K15,K17:K21,K23:K26)</f>
        <v>0</v>
      </c>
      <c r="N10" s="10" t="e">
        <f>N9+K12</f>
        <v>#VALUE!</v>
      </c>
      <c r="S10" s="157"/>
      <c r="AA10" s="3" t="e">
        <f>IF(AND(K29&gt;167,K29&lt;174,Z9&gt;23),"Level 2 DD",IF(AND(K29&gt;173,K29&lt;180,Z9&gt;23),"Level 2 D*D",IF(AND(K29&gt;179,Z9&gt;23),"Level 2 D*D*")))</f>
        <v>#VALUE!</v>
      </c>
    </row>
    <row r="11" spans="1:46">
      <c r="A11" s="4"/>
      <c r="B11" s="35"/>
      <c r="C11" s="35"/>
      <c r="E11" s="39"/>
      <c r="F11" s="35"/>
      <c r="G11" s="35"/>
      <c r="H11" s="40"/>
      <c r="I11" s="67"/>
      <c r="K11" s="79"/>
      <c r="M11" s="10" t="e">
        <f>IF(AND(M9&lt;12),"U",IF(AND(M9&lt;24,M9&gt;11,M10&lt;47),"U",IF(AND(M9&lt;24,M9&gt;11,M10&gt;47),"Level 1",IF(AND(M9&gt;23),M10))))</f>
        <v>#VALUE!</v>
      </c>
      <c r="N11" s="10" t="e">
        <f>IF(AND(N10&lt;12),"U",IF(AND(N10&lt;24,N10&gt;11,M10&gt;47),"Level 1",IF(AND(N10&lt;24,N10&gt;11,M10&lt;47),"U",IF(AND(N10&gt;23),M10))))</f>
        <v>#VALUE!</v>
      </c>
    </row>
    <row r="12" spans="1:46" ht="15.75" customHeight="1">
      <c r="A12" s="4"/>
      <c r="B12" s="35"/>
      <c r="C12" s="35"/>
      <c r="E12" s="8" t="str">
        <f>IF(G5="Information and Creative Technology","Core","Mandatory")</f>
        <v>Mandatory</v>
      </c>
      <c r="F12" s="36" t="str">
        <f>IF(ISERROR(VLOOKUP(G12,'Cert Unit Data'!L3:N25,3,FALSE)),"",VLOOKUP(G12,'Cert Unit Data'!L3:N25,3,FALSE))</f>
        <v/>
      </c>
      <c r="G12" s="36" t="str">
        <f>IF(ISERROR(VLOOKUP(G5,'Cert Unit Data'!K3:L25,2,FALSE)),"",VLOOKUP(G5,'Cert Unit Data'!K3:L25,2,FALSE))</f>
        <v/>
      </c>
      <c r="H12" s="38" t="str">
        <f>IF(ISERROR(VLOOKUP(G12,'Cert Unit Data'!L3:N25,2,FALSE)),"",VLOOKUP(G12,'Cert Unit Data'!L3:N25,2,FALSE))</f>
        <v/>
      </c>
      <c r="I12" s="87"/>
      <c r="J12" s="3" t="b">
        <f>IF(I12="U",0,IF(I12="L1",2,IF(I12="P",4,IF(I12="M",6,IF(I12="D",8)))))</f>
        <v>0</v>
      </c>
      <c r="K12" s="78" t="str">
        <f>IF(ISERROR(IF(I12="","",J12*(H12/10))),"",IF(I12="","",J12*(H12/10)))</f>
        <v/>
      </c>
      <c r="M12" s="10" t="str">
        <f>IF(ISERROR(IF(M11="U","U",IF(M11="Level 1","Level 1",VLOOKUP(M11,'Sheet1 (2)'!A2:B194,2,FALSE)))),"",IF(M11="U","U",IF(M11="Level 1","Level 1",VLOOKUP(M11,'Sheet1 (2)'!A2:B194,2,FALSE))))</f>
        <v/>
      </c>
      <c r="N12" s="10" t="str">
        <f>IF(ISERROR(IF(N11="U","U",IF(N11="Level 1","Level 1",VLOOKUP(N11,'Sheet1 (2)'!A2:B194,2,FALSE)))),"",IF(N11="U","U",IF(N11="Level 1","Level 1",VLOOKUP(N11,'Sheet1 (2)'!A2:B194,2,FALSE))))</f>
        <v/>
      </c>
    </row>
    <row r="13" spans="1:46" ht="15.75" customHeight="1">
      <c r="A13" s="4"/>
      <c r="B13" s="35"/>
      <c r="C13" s="35"/>
      <c r="E13" s="26"/>
      <c r="F13" s="36" t="str">
        <f>IF(ISERROR(VLOOKUP(G13,'Cert Unit Data'!L30:N51,3,FALSE)),"",VLOOKUP(G13,'Cert Unit Data'!L30:N51,3,FALSE))</f>
        <v/>
      </c>
      <c r="G13" s="36" t="str">
        <f>IF(ISERROR(VLOOKUP(G5,'Cert Unit Data'!K30:L51,2,FALSE)),"",VLOOKUP(G5,'Cert Unit Data'!K30:L51,2,FALSE))</f>
        <v/>
      </c>
      <c r="H13" s="38" t="str">
        <f>IF(ISERROR(VLOOKUP(G13,'Cert Unit Data'!L30:N51,2,FALSE)),"",VLOOKUP(G13,'Cert Unit Data'!L30:N51,2,FALSE))</f>
        <v/>
      </c>
      <c r="I13" s="87"/>
      <c r="J13" s="3" t="b">
        <f>IF(I13="U",0,IF(I13="L1",2,IF(I13="P",4,IF(I13="M",6,IF(I13="D",8)))))</f>
        <v>0</v>
      </c>
      <c r="K13" s="76" t="str">
        <f>IF(ISERROR(IF(I13="","",J13*(H13/10))),"",IF(I13="","",J13*(H13/10)))</f>
        <v/>
      </c>
      <c r="M13" s="10"/>
      <c r="N13" s="10"/>
    </row>
    <row r="14" spans="1:46" ht="15.75" customHeight="1">
      <c r="A14" s="4"/>
      <c r="B14" s="35"/>
      <c r="C14" s="35"/>
      <c r="E14" s="26"/>
      <c r="F14" s="36" t="str">
        <f>IF(ISERROR(VLOOKUP(G14,'Cert Unit Data'!L53:N75,3,FALSE)),"",VLOOKUP(G14,'Cert Unit Data'!L53:N75,3,FALSE))</f>
        <v/>
      </c>
      <c r="G14" s="36" t="str">
        <f>IF(ISERROR(VLOOKUP(G5,'Cert Unit Data'!K53:L74,2,FALSE)),"",VLOOKUP(G5,'Cert Unit Data'!K52:L74,2,FALSE))</f>
        <v/>
      </c>
      <c r="H14" s="38" t="str">
        <f>IF(ISERROR(VLOOKUP(G14,'Cert Unit Data'!L53:N75,2,FALSE)),"",VLOOKUP(G14,'Cert Unit Data'!L53:N75,2,FALSE))</f>
        <v/>
      </c>
      <c r="I14" s="87"/>
      <c r="J14" s="3" t="b">
        <f>IF(I14="U",0,IF(I14="L1",2,IF(I14="P",4,IF(I14="M",6,IF(I14="D",8)))))</f>
        <v>0</v>
      </c>
      <c r="K14" s="76" t="str">
        <f>IF(ISERROR(IF(I14="","",J14*(H14/10))),"",IF(I14="","",J14*(H14/10)))</f>
        <v/>
      </c>
      <c r="M14" s="10"/>
      <c r="N14" s="10"/>
    </row>
    <row r="15" spans="1:46" ht="15.75" customHeight="1">
      <c r="A15" s="4"/>
      <c r="B15" s="35"/>
      <c r="C15" s="35"/>
      <c r="E15" s="26"/>
      <c r="F15" s="36" t="str">
        <f>IF(ISERROR(VLOOKUP(G15,'Cert Unit Data'!L80:N102,3,FALSE)),"",VLOOKUP(G15,'Cert Unit Data'!L80:N102,3,FALSE))</f>
        <v/>
      </c>
      <c r="G15" s="36" t="str">
        <f>IF(ISERROR(VLOOKUP(G5,'Cert Unit Data'!K80:L102,2,FALSE)),"",VLOOKUP(G5,'Cert Unit Data'!K80:L102,2,FALSE))</f>
        <v/>
      </c>
      <c r="H15" s="38" t="str">
        <f>IF(ISERROR(VLOOKUP(G15,'Cert Unit Data'!L80:N102,2,FALSE)),"",VLOOKUP(G15,'Cert Unit Data'!L80:N102,2,FALSE))</f>
        <v/>
      </c>
      <c r="I15" s="89"/>
      <c r="J15" s="3" t="b">
        <f>IF(I15="U",0,IF(I15="L1",2,IF(I15="P",4,IF(I15="M",6,IF(I15="D",8)))))</f>
        <v>0</v>
      </c>
      <c r="K15" s="76" t="str">
        <f>IF(ISERROR(IF(I15="","",J15*(H15/10))),"",IF(I15="","",J15*(H15/10)))</f>
        <v/>
      </c>
      <c r="M15" s="10"/>
      <c r="N15" s="10"/>
    </row>
    <row r="16" spans="1:46" ht="15.75" customHeight="1">
      <c r="E16" s="4"/>
      <c r="I16" s="71"/>
      <c r="K16" s="79"/>
      <c r="M16" s="83"/>
      <c r="N16" s="10"/>
    </row>
    <row r="17" spans="2:15" ht="15.75" customHeight="1">
      <c r="E17" s="62" t="str">
        <f>IF(OR(G5="Creative Digital Media Production",G5="Hospitality",G5="Music",G5="Performing Arts Acting",G5="Performing Arts Dance",G5="Performing Arts Musical Theatre",G5="Performing Arts Production",G5=""),"Optional A","Optional")</f>
        <v>Optional A</v>
      </c>
      <c r="F17" s="36" t="str">
        <f>IF(ISERROR(VLOOKUP(G17,'Cert Unit Data'!$Q$3:$S$157,3,FALSE)),"",VLOOKUP(G17,'Cert Unit Data'!$Q$3:$S$157,3,FALSE))</f>
        <v/>
      </c>
      <c r="G17" s="88"/>
      <c r="H17" s="38" t="str">
        <f>IF(ISERROR(VLOOKUP(G17,'Cert Unit Data'!$Q$3:$S$157,2,FALSE)),"",VLOOKUP(G17,'Cert Unit Data'!$Q$3:$S$157,2,FALSE))</f>
        <v/>
      </c>
      <c r="I17" s="87"/>
      <c r="J17" s="3" t="b">
        <f>IF(I17="U",0,IF(I17="L1",2,IF(I17="P",4,IF(I17="M",6,IF(I17="D",8)))))</f>
        <v>0</v>
      </c>
      <c r="K17" s="78" t="str">
        <f>IF(ISERROR(IF(I17="","",J17*(H17/10))),"",IF(I17="","",J17*(H17/10)))</f>
        <v/>
      </c>
      <c r="M17" s="10"/>
      <c r="N17" s="10"/>
    </row>
    <row r="18" spans="2:15" ht="15.75" customHeight="1">
      <c r="E18" s="58"/>
      <c r="F18" s="36" t="str">
        <f>IF(ISERROR(VLOOKUP(G18,'Cert Unit Data'!$Q$3:$S$157,3,FALSE)),"",VLOOKUP(G18,'Cert Unit Data'!$Q$3:$S$157,3,FALSE))</f>
        <v/>
      </c>
      <c r="G18" s="88"/>
      <c r="H18" s="38" t="str">
        <f>IF(ISERROR(VLOOKUP(G18,'Cert Unit Data'!$Q$3:$S$157,2,FALSE)),"",VLOOKUP(G18,'Cert Unit Data'!$Q$3:$S$157,2,FALSE))</f>
        <v/>
      </c>
      <c r="I18" s="87"/>
      <c r="J18" s="3" t="b">
        <f>IF(I18="U",0,IF(I18="L1",2,IF(I18="P",4,IF(I18="M",6,IF(I18="D",8)))))</f>
        <v>0</v>
      </c>
      <c r="K18" s="76" t="str">
        <f>IF(ISERROR(IF(I18="","",J18*(H18/10))),"",IF(I18="","",J18*(H18/10)))</f>
        <v/>
      </c>
      <c r="M18" s="83">
        <f>IF(G39&lt;&gt;"",2,1)</f>
        <v>1</v>
      </c>
      <c r="N18" s="10"/>
      <c r="O18"/>
    </row>
    <row r="19" spans="2:15" ht="15.75" customHeight="1">
      <c r="E19" s="58"/>
      <c r="F19" s="36" t="str">
        <f>IF(ISERROR(VLOOKUP(G19,'Cert Unit Data'!$Q$3:$S$157,3,FALSE)),"",VLOOKUP(G19,'Cert Unit Data'!$Q$3:$S$157,3,FALSE))</f>
        <v/>
      </c>
      <c r="G19" s="88"/>
      <c r="H19" s="38" t="str">
        <f>IF(ISERROR(VLOOKUP(G19,'Cert Unit Data'!$Q$3:$S$157,2,FALSE)),"",VLOOKUP(G19,'Cert Unit Data'!$Q$3:$S$157,2,FALSE))</f>
        <v/>
      </c>
      <c r="I19" s="87"/>
      <c r="J19" s="3" t="b">
        <f>IF(I19="U",0,IF(I19="L1",2,IF(I19="P",4,IF(I19="M",6,IF(I19="D",8)))))</f>
        <v>0</v>
      </c>
      <c r="K19" s="76" t="str">
        <f>IF(ISERROR(IF(I19="","",J19*(H19/10))),"",IF(I19="","",J19*(H19/10)))</f>
        <v/>
      </c>
    </row>
    <row r="20" spans="2:15" ht="15.75" customHeight="1">
      <c r="E20" s="58"/>
      <c r="F20" s="36" t="str">
        <f>IF(ISERROR(VLOOKUP(G20,'Cert Unit Data'!$Q$3:$S$157,3,FALSE)),"",VLOOKUP(G20,'Cert Unit Data'!$Q$3:$S$157,3,FALSE))</f>
        <v/>
      </c>
      <c r="G20" s="88"/>
      <c r="H20" s="38" t="str">
        <f>IF(ISERROR(VLOOKUP(G20,'Cert Unit Data'!$Q$3:$S$157,2,FALSE)),"",VLOOKUP(G20,'Cert Unit Data'!$Q$3:$S$157,2,FALSE))</f>
        <v/>
      </c>
      <c r="I20" s="87"/>
      <c r="J20" s="3" t="b">
        <f>IF(I20="U",0,IF(I20="L1",2,IF(I20="P",4,IF(I20="M",6,IF(I20="D",8)))))</f>
        <v>0</v>
      </c>
      <c r="K20" s="76" t="str">
        <f>IF(ISERROR(IF(I20="","",J20*(H20/10))),"",IF(I20="","",J20*(H20/10)))</f>
        <v/>
      </c>
    </row>
    <row r="21" spans="2:15" ht="17.25" customHeight="1">
      <c r="E21" s="58"/>
      <c r="F21" s="36" t="str">
        <f>IF(ISERROR(VLOOKUP(G21,'Cert Unit Data'!$Q$3:$S$157,3,FALSE)),"",VLOOKUP(G21,'Cert Unit Data'!$Q$3:$S$157,3,FALSE))</f>
        <v/>
      </c>
      <c r="G21" s="88"/>
      <c r="H21" s="38" t="str">
        <f>IF(ISERROR(VLOOKUP(G21,'Cert Unit Data'!$Q$3:$S$157,2,FALSE)),"",VLOOKUP(G21,'Cert Unit Data'!$Q$3:$S$157,2,FALSE))</f>
        <v/>
      </c>
      <c r="I21" s="87"/>
      <c r="J21" s="3" t="b">
        <f>IF(I21="U",0,IF(I21="L1",2,IF(I21="P",4,IF(I21="M",6,IF(I21="D",8)))))</f>
        <v>0</v>
      </c>
      <c r="K21" s="76" t="str">
        <f>IF(ISERROR(IF(I21="","",J21*(H21/10))),"",IF(I21="","",J21*(H21/10)))</f>
        <v/>
      </c>
    </row>
    <row r="22" spans="2:15" ht="17.25" customHeight="1">
      <c r="E22" s="4"/>
      <c r="I22" s="71"/>
      <c r="K22" s="79"/>
    </row>
    <row r="23" spans="2:15" ht="15.75" customHeight="1">
      <c r="E23" s="62" t="s">
        <v>178</v>
      </c>
      <c r="F23" s="36" t="str">
        <f>IF(ISERROR(VLOOKUP(G23,'Cert Unit Data'!$Q$3:$S$157,3,FALSE)),"",VLOOKUP(G23,'Cert Unit Data'!$Q$3:$S$157,3,FALSE))</f>
        <v/>
      </c>
      <c r="G23" s="88"/>
      <c r="H23" s="38" t="str">
        <f>IF(ISERROR(VLOOKUP(G23,'Cert Unit Data'!$Q$3:$S$157,2,FALSE)),"",VLOOKUP(G23,'Cert Unit Data'!$Q$3:$S$157,2,FALSE))</f>
        <v/>
      </c>
      <c r="I23" s="87"/>
      <c r="J23" s="3" t="b">
        <f>IF(I23="U",0,IF(I23="L1",2,IF(I23="P",4,IF(I23="M",6,IF(I23="D",8)))))</f>
        <v>0</v>
      </c>
      <c r="K23" s="78" t="str">
        <f>IF(ISERROR(IF(I23="","",J23*(H23/10))),"",IF(I23="","",J23*(H23/10)))</f>
        <v/>
      </c>
    </row>
    <row r="24" spans="2:15" ht="15.75" customHeight="1">
      <c r="E24" s="59"/>
      <c r="F24" s="36" t="str">
        <f>IF(ISERROR(VLOOKUP(G24,'Cert Unit Data'!$Q$3:$S$157,3,FALSE)),"",VLOOKUP(G24,'Cert Unit Data'!$Q$3:$S$157,3,FALSE))</f>
        <v/>
      </c>
      <c r="G24" s="88"/>
      <c r="H24" s="41" t="str">
        <f>IF(ISERROR(VLOOKUP(G24,'Cert Unit Data'!$Q$3:$S$157,2,FALSE)),"",VLOOKUP(G24,'Cert Unit Data'!$Q$3:$S$157,2,FALSE))</f>
        <v/>
      </c>
      <c r="I24" s="87"/>
      <c r="J24" s="3" t="b">
        <f>IF(I24="U",0,IF(I24="L1",2,IF(I24="P",4,IF(I24="M",6,IF(I24="D",8)))))</f>
        <v>0</v>
      </c>
      <c r="K24" s="37" t="str">
        <f>IF(ISERROR(IF(I24="","",J24*(H24/10))),"",IF(I24="","",J24*(H24/10)))</f>
        <v/>
      </c>
    </row>
    <row r="25" spans="2:15" ht="15.75" customHeight="1">
      <c r="E25" s="59"/>
      <c r="F25" s="36" t="str">
        <f>IF(ISERROR(VLOOKUP(G25,'Cert Unit Data'!$Q$3:$S$157,3,FALSE)),"",VLOOKUP(G25,'Cert Unit Data'!$Q$3:$S$157,3,FALSE))</f>
        <v/>
      </c>
      <c r="G25" s="88"/>
      <c r="H25" s="38" t="str">
        <f>IF(ISERROR(VLOOKUP(G25,'Cert Unit Data'!$Q$3:$S$157,2,FALSE)),"",VLOOKUP(G25,'Cert Unit Data'!$Q$3:$S$157,2,FALSE))</f>
        <v/>
      </c>
      <c r="I25" s="87"/>
      <c r="J25" s="3" t="b">
        <f>IF(I25="U",0,IF(I25="L1",2,IF(I25="P",4,IF(I25="M",6,IF(I25="D",8)))))</f>
        <v>0</v>
      </c>
      <c r="K25" s="37" t="str">
        <f>IF(ISERROR(J25*(H25/10)),"",J25*(H25/10))</f>
        <v/>
      </c>
    </row>
    <row r="26" spans="2:15" ht="15.75" hidden="1" customHeight="1">
      <c r="E26" s="58"/>
      <c r="F26" s="36" t="str">
        <f>IF(ISERROR(VLOOKUP(G26,[3]Sheet3!$Q$3:$S$148,3,FALSE)),"",VLOOKUP(G26,[3]Sheet3!$Q$3:$S$148,3,FALSE))</f>
        <v/>
      </c>
      <c r="G26" s="112"/>
      <c r="H26" s="38" t="str">
        <f>IF(ISERROR(VLOOKUP(G26,[3]Sheet3!$Q$3:$S$148,2,FALSE)),"",VLOOKUP(G26,[3]Sheet3!$Q$3:$S$148,2,FALSE))</f>
        <v/>
      </c>
      <c r="I26" s="113"/>
      <c r="J26" s="3" t="b">
        <f>IF(I26="U",0,IF(I26="L1",2,IF(I26="P",4,IF(I26="M",6,IF(I26="D",8)))))</f>
        <v>0</v>
      </c>
      <c r="K26" s="37" t="str">
        <f>IF(ISERROR(J26*(H26/10)),"",J26*(H26/10))</f>
        <v/>
      </c>
    </row>
    <row r="27" spans="2:15" ht="15.75" customHeight="1">
      <c r="H27" s="34">
        <f>SUM(H9:H26)</f>
        <v>0</v>
      </c>
      <c r="I27" s="74"/>
    </row>
    <row r="28" spans="2:15">
      <c r="F28" s="5"/>
      <c r="G28" s="5"/>
    </row>
    <row r="29" spans="2:15">
      <c r="I29" s="1" t="s">
        <v>381</v>
      </c>
      <c r="K29" s="34">
        <f>SUM(K9:K23)</f>
        <v>0</v>
      </c>
      <c r="L29" s="10"/>
      <c r="M29" s="158" t="str">
        <f>IF(ISERROR(IF($G$5="Application of Science", "", IF($K9+$K10&lt;24,"24 points across Core Units required to achieve Level 2",""))),"",IF($G$5="Application of Science", "", IF($K9+$K10&lt;24,"24 points across Core Units required to achieve Level 2","")))</f>
        <v/>
      </c>
    </row>
    <row r="30" spans="2:15" ht="32.25" customHeight="1">
      <c r="I30" s="27" t="s">
        <v>382</v>
      </c>
      <c r="K30" s="75" t="str">
        <f>IF(G5="","",IF(G5="Information and Creative Technology",N12,M12))</f>
        <v/>
      </c>
      <c r="L30" s="10">
        <f>IF(H27&gt;240,1,IF(H27&lt;240,3,2))</f>
        <v>3</v>
      </c>
      <c r="M30" s="158"/>
    </row>
    <row r="31" spans="2:15">
      <c r="G31" s="10"/>
    </row>
    <row r="32" spans="2:15" ht="15" hidden="1">
      <c r="B32" s="10"/>
      <c r="C32" s="10"/>
      <c r="D32" s="10"/>
      <c r="E32" s="10"/>
      <c r="F32" s="10"/>
      <c r="G32" s="10"/>
      <c r="K32" s="42"/>
    </row>
    <row r="33" spans="1:11" ht="17.25" hidden="1" customHeight="1">
      <c r="A33" s="10"/>
      <c r="B33" s="10"/>
      <c r="C33" s="10"/>
      <c r="D33" s="10"/>
      <c r="E33" s="10"/>
      <c r="F33" s="61" t="s">
        <v>174</v>
      </c>
      <c r="G33" s="61" t="s">
        <v>175</v>
      </c>
      <c r="H33" s="16"/>
      <c r="I33" s="16"/>
      <c r="K33" s="42"/>
    </row>
    <row r="34" spans="1:11" ht="26.25" customHeight="1">
      <c r="A34" s="10"/>
      <c r="B34" s="10"/>
      <c r="C34" s="10"/>
      <c r="D34" s="10"/>
      <c r="E34" s="10"/>
      <c r="F34" s="61" t="s">
        <v>134</v>
      </c>
      <c r="G34" s="31" t="str">
        <f>IF(ISERROR(VLOOKUP(G5,[3]Sheet1!D3:E24,2,FALSE)),"",VLOOKUP(G5,[3]Sheet1!D3:E24,2,FALSE))</f>
        <v/>
      </c>
      <c r="H34" s="16"/>
      <c r="I34" s="16"/>
    </row>
    <row r="35" spans="1:11" ht="28.5" customHeight="1">
      <c r="A35" s="10"/>
      <c r="B35" s="10"/>
      <c r="C35" s="10"/>
      <c r="D35" s="10"/>
      <c r="E35" s="10"/>
      <c r="F35" s="61" t="s">
        <v>176</v>
      </c>
      <c r="G35" s="31" t="str">
        <f>IF(ISERROR(VLOOKUP(G5,[3]Sheet1!D27:E48,2,FALSE)),"",VLOOKUP(G5,[3]Sheet1!D27:E48,2,FALSE))</f>
        <v/>
      </c>
      <c r="H35" s="16"/>
      <c r="I35" s="16"/>
    </row>
    <row r="36" spans="1:11" hidden="1">
      <c r="A36" s="16"/>
      <c r="B36" s="16" t="s">
        <v>50</v>
      </c>
      <c r="C36" s="16"/>
      <c r="D36" s="16"/>
      <c r="E36" s="16"/>
      <c r="F36" s="57" t="s">
        <v>177</v>
      </c>
      <c r="G36" s="57" t="str">
        <f>IF(ISERROR(VLOOKUP(G5,[3]Sheet1!D51:E72,2,FALSE)),"",VLOOKUP(G5,[3]Sheet1!D51:E72,2,FALSE))</f>
        <v/>
      </c>
      <c r="H36" s="16"/>
      <c r="I36" s="16"/>
    </row>
    <row r="37" spans="1:11" hidden="1">
      <c r="A37" s="16"/>
      <c r="B37" s="16" t="s">
        <v>180</v>
      </c>
      <c r="C37" s="16"/>
      <c r="D37" s="16"/>
      <c r="E37" s="16"/>
      <c r="F37" s="57" t="s">
        <v>178</v>
      </c>
      <c r="G37" s="57" t="str">
        <f>IF(ISERROR(VLOOKUP(G5,[3]Sheet1!D75:E96,2,FALSE)),"",VLOOKUP(G5,[3]Sheet1!D75:E96,2,FALSE))</f>
        <v/>
      </c>
      <c r="H37" s="16"/>
      <c r="I37" s="16"/>
    </row>
    <row r="38" spans="1:11" hidden="1">
      <c r="A38" s="16"/>
      <c r="B38" s="16" t="s">
        <v>181</v>
      </c>
      <c r="C38" s="16"/>
      <c r="D38" s="16"/>
      <c r="E38" s="16"/>
      <c r="F38" s="57"/>
      <c r="G38" s="57"/>
      <c r="H38" s="16"/>
      <c r="I38" s="16"/>
    </row>
    <row r="39" spans="1:11" hidden="1">
      <c r="A39" s="16"/>
      <c r="B39" s="16" t="s">
        <v>182</v>
      </c>
      <c r="C39" s="16"/>
      <c r="D39" s="16"/>
      <c r="E39" s="16"/>
      <c r="F39" s="57" t="s">
        <v>179</v>
      </c>
      <c r="G39" s="57" t="str">
        <f>IF(ISERROR(IF(AND(G23="",G24="",G25=""),VLOOKUP(G5,[3]Sheet1!D98:E104,2,FALSE),"")),"",IF(AND(G23="",G24="",G25=""),VLOOKUP(G5,[3]Sheet1!D98:E104,2,FALSE),""))</f>
        <v/>
      </c>
      <c r="H39" s="16"/>
      <c r="I39" s="16"/>
    </row>
    <row r="40" spans="1:11" hidden="1">
      <c r="A40" s="16"/>
      <c r="B40" s="16" t="s">
        <v>183</v>
      </c>
      <c r="C40" s="16"/>
      <c r="D40" s="16"/>
      <c r="E40" s="16"/>
      <c r="F40" s="16"/>
      <c r="G40" s="16"/>
      <c r="H40" s="16"/>
      <c r="I40" s="16"/>
    </row>
    <row r="41" spans="1:11" hidden="1">
      <c r="A41" s="16"/>
      <c r="B41" s="16" t="s">
        <v>184</v>
      </c>
      <c r="C41" s="16"/>
      <c r="D41" s="16"/>
      <c r="E41" s="16"/>
      <c r="F41" s="16"/>
      <c r="G41" s="16"/>
      <c r="H41" s="16"/>
      <c r="I41" s="16"/>
    </row>
    <row r="42" spans="1:11" hidden="1">
      <c r="A42" s="16"/>
      <c r="B42" s="16" t="s">
        <v>185</v>
      </c>
      <c r="C42" s="16"/>
      <c r="D42" s="16"/>
      <c r="E42" s="16"/>
      <c r="F42" s="16"/>
      <c r="G42" s="16"/>
      <c r="H42" s="16"/>
      <c r="I42" s="16"/>
    </row>
    <row r="43" spans="1:11" hidden="1">
      <c r="A43" s="16"/>
      <c r="B43" s="16" t="s">
        <v>51</v>
      </c>
      <c r="C43" s="16"/>
      <c r="D43" s="16"/>
      <c r="E43" s="16"/>
      <c r="F43" s="16"/>
      <c r="G43" s="16"/>
      <c r="H43" s="16"/>
      <c r="I43" s="16"/>
    </row>
    <row r="44" spans="1:11" hidden="1">
      <c r="A44" s="16"/>
      <c r="B44" s="16" t="s">
        <v>129</v>
      </c>
      <c r="C44" s="16"/>
      <c r="D44" s="16"/>
      <c r="E44" s="16"/>
      <c r="F44" s="16"/>
      <c r="G44" s="16"/>
      <c r="H44" s="16"/>
      <c r="I44" s="16"/>
    </row>
    <row r="45" spans="1:11" hidden="1">
      <c r="A45" s="16"/>
      <c r="B45" s="16" t="s">
        <v>52</v>
      </c>
      <c r="C45" s="16"/>
      <c r="D45" s="16"/>
      <c r="E45" s="16"/>
      <c r="F45" s="16"/>
      <c r="G45" s="16"/>
      <c r="H45" s="16"/>
      <c r="I45" s="16"/>
    </row>
    <row r="46" spans="1:11" hidden="1">
      <c r="A46" s="16"/>
      <c r="B46" s="16" t="s">
        <v>53</v>
      </c>
      <c r="C46" s="16"/>
      <c r="D46" s="16"/>
      <c r="E46" s="16"/>
      <c r="F46" s="16"/>
      <c r="G46" s="16"/>
      <c r="H46" s="16"/>
      <c r="I46" s="16"/>
    </row>
    <row r="47" spans="1:11" hidden="1">
      <c r="A47" s="16"/>
      <c r="B47" s="16" t="s">
        <v>54</v>
      </c>
      <c r="C47" s="16"/>
      <c r="D47" s="16"/>
      <c r="E47" s="16"/>
      <c r="F47" s="16"/>
      <c r="G47" s="16"/>
      <c r="H47" s="16"/>
      <c r="I47" s="16"/>
    </row>
    <row r="48" spans="1:11" hidden="1">
      <c r="A48" s="16"/>
      <c r="B48" s="16" t="s">
        <v>55</v>
      </c>
      <c r="C48" s="16"/>
      <c r="D48" s="16"/>
      <c r="E48" s="16"/>
      <c r="F48" s="16"/>
      <c r="G48" s="16"/>
      <c r="H48" s="16"/>
      <c r="I48" s="16"/>
    </row>
    <row r="49" spans="1:11" hidden="1">
      <c r="A49" s="16"/>
      <c r="B49" s="16" t="s">
        <v>56</v>
      </c>
      <c r="C49" s="16"/>
      <c r="D49" s="16"/>
      <c r="E49" s="16"/>
      <c r="F49" s="16"/>
      <c r="G49" s="16"/>
      <c r="H49" s="16"/>
      <c r="I49" s="16"/>
    </row>
    <row r="50" spans="1:11" hidden="1">
      <c r="A50" s="16"/>
      <c r="B50" s="16" t="s">
        <v>57</v>
      </c>
      <c r="C50" s="16"/>
      <c r="D50" s="16"/>
      <c r="E50" s="16"/>
      <c r="F50" s="16"/>
      <c r="G50" s="16"/>
      <c r="H50" s="16"/>
      <c r="I50" s="16"/>
    </row>
    <row r="51" spans="1:11" hidden="1">
      <c r="A51" s="16"/>
      <c r="B51" s="16" t="s">
        <v>12</v>
      </c>
      <c r="C51" s="16"/>
      <c r="D51" s="16"/>
      <c r="E51" s="16"/>
      <c r="F51" s="16"/>
      <c r="G51" s="16"/>
      <c r="H51" s="16"/>
      <c r="I51" s="16"/>
    </row>
    <row r="52" spans="1:11" hidden="1">
      <c r="A52" s="16"/>
      <c r="B52" s="3" t="s">
        <v>168</v>
      </c>
      <c r="D52" s="16"/>
      <c r="E52" s="16"/>
      <c r="F52" s="16"/>
      <c r="G52" s="16"/>
      <c r="H52" s="16"/>
      <c r="I52" s="16"/>
    </row>
    <row r="53" spans="1:11" hidden="1">
      <c r="A53" s="16"/>
      <c r="B53" s="57" t="s">
        <v>186</v>
      </c>
      <c r="C53" s="16"/>
      <c r="D53" s="16"/>
      <c r="E53" s="16"/>
      <c r="F53" s="16"/>
      <c r="G53" s="16"/>
      <c r="H53" s="16"/>
      <c r="I53" s="16"/>
      <c r="K53" s="16"/>
    </row>
    <row r="54" spans="1:11" hidden="1">
      <c r="A54" s="16"/>
      <c r="B54" s="57" t="s">
        <v>187</v>
      </c>
      <c r="C54" s="16"/>
      <c r="D54" s="16"/>
      <c r="E54" s="16"/>
      <c r="F54" s="16"/>
      <c r="G54" s="16"/>
      <c r="H54" s="16"/>
      <c r="I54" s="16"/>
      <c r="K54" s="16"/>
    </row>
    <row r="55" spans="1:11" hidden="1">
      <c r="A55" s="16"/>
      <c r="B55" s="57" t="s">
        <v>188</v>
      </c>
      <c r="C55" s="16"/>
      <c r="D55" s="16"/>
      <c r="E55" s="16"/>
      <c r="F55" s="16"/>
      <c r="G55" s="16"/>
      <c r="H55" s="16"/>
      <c r="I55" s="16"/>
      <c r="K55" s="16"/>
    </row>
    <row r="56" spans="1:11" hidden="1">
      <c r="A56" s="16"/>
      <c r="B56" s="57" t="s">
        <v>189</v>
      </c>
      <c r="C56" s="16"/>
      <c r="D56" s="16"/>
      <c r="E56" s="16"/>
      <c r="F56" s="16"/>
      <c r="G56" s="16"/>
      <c r="H56" s="16"/>
      <c r="I56" s="16"/>
      <c r="K56" s="16"/>
    </row>
    <row r="57" spans="1:11" hidden="1">
      <c r="A57" s="16"/>
      <c r="B57" s="16" t="s">
        <v>59</v>
      </c>
      <c r="C57" s="16"/>
      <c r="D57" s="16"/>
      <c r="E57" s="16"/>
      <c r="F57" s="16"/>
      <c r="G57" s="16"/>
      <c r="H57" s="16"/>
      <c r="I57" s="16"/>
      <c r="K57" s="16"/>
    </row>
    <row r="58" spans="1:11" hidden="1">
      <c r="A58" s="16"/>
      <c r="B58" s="16" t="s">
        <v>60</v>
      </c>
      <c r="C58" s="16"/>
      <c r="D58" s="16"/>
      <c r="E58" s="16"/>
      <c r="F58" s="16"/>
      <c r="G58" s="16"/>
      <c r="H58" s="16"/>
      <c r="I58" s="16"/>
      <c r="K58" s="16"/>
    </row>
    <row r="59" spans="1:11" hidden="1">
      <c r="A59" s="16"/>
      <c r="B59" s="16"/>
      <c r="C59" s="16" t="s">
        <v>7</v>
      </c>
      <c r="D59" s="16"/>
      <c r="E59" s="16"/>
      <c r="F59" s="16"/>
      <c r="G59" s="16"/>
      <c r="H59" s="16"/>
      <c r="I59" s="16"/>
    </row>
    <row r="60" spans="1:11" hidden="1">
      <c r="A60" s="16"/>
      <c r="B60" s="16"/>
      <c r="C60" s="16" t="s">
        <v>4</v>
      </c>
      <c r="D60" s="16"/>
      <c r="E60" s="16"/>
      <c r="F60" s="16"/>
      <c r="G60" s="16"/>
      <c r="H60" s="16"/>
      <c r="I60" s="16"/>
    </row>
    <row r="61" spans="1:11" hidden="1">
      <c r="A61" s="10"/>
      <c r="B61" s="10"/>
      <c r="C61" s="10" t="s">
        <v>2</v>
      </c>
      <c r="D61" s="10"/>
      <c r="E61" s="10"/>
      <c r="F61" s="10"/>
      <c r="G61" s="10"/>
      <c r="H61" s="16"/>
      <c r="I61" s="16"/>
    </row>
    <row r="62" spans="1:11" hidden="1">
      <c r="A62" s="10"/>
      <c r="B62" s="10"/>
      <c r="C62" s="10" t="s">
        <v>5</v>
      </c>
      <c r="D62" s="10"/>
      <c r="E62" s="10"/>
      <c r="F62" s="10"/>
      <c r="G62" s="10"/>
      <c r="H62" s="16"/>
      <c r="I62" s="16"/>
    </row>
    <row r="63" spans="1:11" hidden="1">
      <c r="A63" s="10"/>
      <c r="B63" s="10"/>
      <c r="C63" s="10" t="s">
        <v>6</v>
      </c>
      <c r="D63" s="10"/>
      <c r="E63" s="10"/>
      <c r="F63" s="10"/>
      <c r="G63" s="10"/>
      <c r="H63" s="16"/>
      <c r="I63" s="16"/>
    </row>
    <row r="64" spans="1:11" hidden="1">
      <c r="A64" s="10"/>
      <c r="B64" s="10"/>
      <c r="C64" s="10"/>
      <c r="D64" s="10"/>
      <c r="E64" s="10"/>
      <c r="F64" s="10"/>
      <c r="G64" s="10"/>
      <c r="H64" s="16"/>
      <c r="I64" s="16"/>
    </row>
    <row r="65" spans="3:9" hidden="1">
      <c r="C65" s="16"/>
      <c r="D65" s="16"/>
      <c r="E65" s="16"/>
      <c r="F65" s="16"/>
      <c r="G65" s="16"/>
      <c r="H65" s="16"/>
      <c r="I65" s="16"/>
    </row>
    <row r="66" spans="3:9" hidden="1">
      <c r="C66" s="16"/>
      <c r="D66" s="16"/>
      <c r="E66" s="16"/>
      <c r="F66" s="16"/>
      <c r="G66" s="16"/>
      <c r="H66" s="16"/>
      <c r="I66" s="16"/>
    </row>
    <row r="67" spans="3:9" hidden="1">
      <c r="C67" s="16"/>
      <c r="D67" s="16"/>
      <c r="E67" s="16"/>
      <c r="F67" s="16"/>
      <c r="G67" s="16"/>
      <c r="H67" s="16"/>
      <c r="I67" s="16"/>
    </row>
    <row r="68" spans="3:9" hidden="1">
      <c r="C68" s="16"/>
      <c r="D68" s="16"/>
      <c r="E68" s="16"/>
      <c r="F68" s="16"/>
      <c r="G68" s="16"/>
      <c r="H68" s="16"/>
      <c r="I68" s="16"/>
    </row>
    <row r="69" spans="3:9" hidden="1">
      <c r="C69" s="16"/>
      <c r="D69" s="16"/>
      <c r="E69" s="16"/>
      <c r="F69" s="16"/>
      <c r="G69" s="16"/>
      <c r="H69" s="16"/>
      <c r="I69" s="16"/>
    </row>
    <row r="70" spans="3:9" hidden="1">
      <c r="C70" s="16"/>
      <c r="D70" s="16"/>
      <c r="E70" s="16"/>
      <c r="F70" s="16"/>
      <c r="G70" s="16"/>
      <c r="H70" s="16"/>
      <c r="I70" s="16"/>
    </row>
    <row r="2223" hidden="1"/>
    <row r="2326" hidden="1"/>
  </sheetData>
  <sheetProtection password="837D" sheet="1" objects="1" scenarios="1" formatRows="0" selectLockedCells="1"/>
  <protectedRanges>
    <protectedRange sqref="H9" name="Range1_1"/>
  </protectedRanges>
  <mergeCells count="2">
    <mergeCell ref="S9:S10"/>
    <mergeCell ref="M29:M30"/>
  </mergeCells>
  <conditionalFormatting sqref="H27">
    <cfRule type="cellIs" dxfId="35" priority="4" stopIfTrue="1" operator="greaterThan">
      <formula>240</formula>
    </cfRule>
    <cfRule type="cellIs" dxfId="34" priority="9" stopIfTrue="1" operator="greaterThanOrEqual">
      <formula>240</formula>
    </cfRule>
    <cfRule type="cellIs" dxfId="33" priority="10" stopIfTrue="1" operator="lessThan">
      <formula>240</formula>
    </cfRule>
  </conditionalFormatting>
  <conditionalFormatting sqref="F14">
    <cfRule type="expression" dxfId="32" priority="8" stopIfTrue="1">
      <formula>LEFT(F14,3)="N/A"</formula>
    </cfRule>
  </conditionalFormatting>
  <conditionalFormatting sqref="M29:M30">
    <cfRule type="containsText" dxfId="31" priority="1" operator="containsText" text="24">
      <formula>NOT(ISERROR(SEARCH("24",M29)))</formula>
    </cfRule>
  </conditionalFormatting>
  <dataValidations count="11">
    <dataValidation type="list" allowBlank="1" showInputMessage="1" showErrorMessage="1" sqref="G20">
      <formula1>OFFSET(INDIRECT(SUBSTITUTE(G5," ","_")&amp;"_A_Start"),0,0,COUNT(INDIRECT(SUBSTITUTE(G5," ","_")&amp;"_A_Col")),1)</formula1>
    </dataValidation>
    <dataValidation type="list" allowBlank="1" showInputMessage="1" showErrorMessage="1" sqref="G25">
      <formula1>OFFSET(INDIRECT(SUBSTITUTE(G5," ","_")&amp;"_B_Start"),0,0,COUNT(INDIRECT(SUBSTITUTE(G5," ","_")&amp;"_B_Col")),1)</formula1>
    </dataValidation>
    <dataValidation type="list" allowBlank="1" showInputMessage="1" showErrorMessage="1" sqref="G24">
      <formula1>OFFSET(INDIRECT(SUBSTITUTE(G5," ","_")&amp;"_B_Start"),0,0,COUNT(INDIRECT(SUBSTITUTE(G5," ","_")&amp;"_B_Col")),1)</formula1>
    </dataValidation>
    <dataValidation type="list" allowBlank="1" showInputMessage="1" showErrorMessage="1" sqref="G23">
      <formula1>OFFSET(INDIRECT(SUBSTITUTE(G5," ","_")&amp;"_B_Start"),0,0,COUNT(INDIRECT(SUBSTITUTE(G5," ","_")&amp;"_B_Col")),1)</formula1>
    </dataValidation>
    <dataValidation type="list" allowBlank="1" showInputMessage="1" showErrorMessage="1" sqref="G21">
      <formula1>OFFSET(INDIRECT(SUBSTITUTE(G5," ","_")&amp;"_A_Start"),0,0,COUNT(INDIRECT(SUBSTITUTE(G5," ","_")&amp;"_A_Col")),1)</formula1>
    </dataValidation>
    <dataValidation type="list" allowBlank="1" showInputMessage="1" showErrorMessage="1" sqref="G18">
      <formula1>OFFSET(INDIRECT(SUBSTITUTE(G5," ","_")&amp;"_A_Start"),0,0,COUNT(INDIRECT(SUBSTITUTE(G5," ","_")&amp;"_A_Col")),1)</formula1>
    </dataValidation>
    <dataValidation type="list" allowBlank="1" showInputMessage="1" showErrorMessage="1" sqref="G17">
      <formula1>OFFSET(INDIRECT(SUBSTITUTE(G5," ","_")&amp;"_A_Start"),0,0,COUNT(INDIRECT(SUBSTITUTE(G5," ","_")&amp;"_A_Col")),1)</formula1>
    </dataValidation>
    <dataValidation type="list" allowBlank="1" showInputMessage="1" showErrorMessage="1" sqref="G19">
      <formula1>OFFSET(INDIRECT(SUBSTITUTE(G5," ","_")&amp;"_A_Start"),0,0,COUNT(INDIRECT(SUBSTITUTE(G5," ","_")&amp;"_A_Col")),1)</formula1>
    </dataValidation>
    <dataValidation type="list" allowBlank="1" showInputMessage="1" showErrorMessage="1" sqref="G5">
      <formula1>$B$36:$B$58</formula1>
    </dataValidation>
    <dataValidation type="list" allowBlank="1" showInputMessage="1" showErrorMessage="1" sqref="C5">
      <formula1>Sectors</formula1>
    </dataValidation>
    <dataValidation type="list" allowBlank="1" showInputMessage="1" showErrorMessage="1" sqref="I9:I10 I17:I21 I12:I15 I23:I26">
      <formula1>unitgrades</formula1>
    </dataValidation>
  </dataValidations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74" r:id="rId3" name="Drop Down 358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8</xdr:col>
                    <xdr:colOff>1130300</xdr:colOff>
                    <xdr:row>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3" r:id="rId4" name="Drop Down 357">
              <controlPr defaultSize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8</xdr:col>
                    <xdr:colOff>1130300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0" r:id="rId5" name="Drop Down 354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8</xdr:col>
                    <xdr:colOff>1130300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1" r:id="rId6" name="Drop Down 355">
              <controlPr defaultSize="0" autoLine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8</xdr:col>
                    <xdr:colOff>1130300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5" r:id="rId7" name="Drop Down 359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8</xdr:col>
                    <xdr:colOff>1130300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77" r:id="rId8" name="Drop Down 361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8</xdr:col>
                    <xdr:colOff>1130300</xdr:colOff>
                    <xdr:row>20</xdr:row>
                    <xdr:rowOff>266700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X157"/>
  <sheetViews>
    <sheetView topLeftCell="G1" workbookViewId="0">
      <selection activeCell="L3" sqref="L3"/>
    </sheetView>
  </sheetViews>
  <sheetFormatPr baseColWidth="10" defaultColWidth="8.83203125" defaultRowHeight="14" x14ac:dyDescent="0"/>
  <cols>
    <col min="1" max="1" width="39.1640625" customWidth="1"/>
    <col min="2" max="2" width="18.33203125" customWidth="1"/>
    <col min="6" max="6" width="38.83203125" customWidth="1"/>
    <col min="7" max="7" width="20.5" customWidth="1"/>
    <col min="11" max="11" width="12" customWidth="1"/>
    <col min="12" max="12" width="32.5" customWidth="1"/>
    <col min="16" max="16" width="35.5" customWidth="1"/>
    <col min="17" max="17" width="37.33203125" customWidth="1"/>
    <col min="19" max="21" width="12.6640625" customWidth="1"/>
    <col min="22" max="22" width="9.5" customWidth="1"/>
    <col min="23" max="23" width="20.5" customWidth="1"/>
  </cols>
  <sheetData>
    <row r="1" spans="1:24" s="2" customFormat="1">
      <c r="A1" s="2" t="s">
        <v>14</v>
      </c>
      <c r="K1" s="2" t="s">
        <v>26</v>
      </c>
      <c r="P1" s="2" t="s">
        <v>329</v>
      </c>
      <c r="U1" s="2" t="s">
        <v>237</v>
      </c>
    </row>
    <row r="2" spans="1:24" s="2" customFormat="1">
      <c r="A2" s="2" t="s">
        <v>10</v>
      </c>
      <c r="B2" s="2" t="s">
        <v>13</v>
      </c>
      <c r="C2" s="2" t="s">
        <v>0</v>
      </c>
      <c r="F2" s="2" t="s">
        <v>10</v>
      </c>
      <c r="G2" s="2" t="s">
        <v>13</v>
      </c>
      <c r="H2" s="2" t="s">
        <v>0</v>
      </c>
      <c r="K2" s="13" t="s">
        <v>10</v>
      </c>
      <c r="L2" s="13" t="s">
        <v>13</v>
      </c>
      <c r="M2" s="13" t="s">
        <v>0</v>
      </c>
      <c r="N2" s="13"/>
      <c r="P2" s="2" t="s">
        <v>10</v>
      </c>
      <c r="Q2" s="2" t="s">
        <v>13</v>
      </c>
      <c r="R2" s="2" t="s">
        <v>0</v>
      </c>
      <c r="U2" s="13" t="s">
        <v>13</v>
      </c>
      <c r="V2" s="13" t="s">
        <v>0</v>
      </c>
      <c r="W2" s="13" t="s">
        <v>147</v>
      </c>
      <c r="X2" s="13" t="s">
        <v>330</v>
      </c>
    </row>
    <row r="3" spans="1:24">
      <c r="A3" s="14" t="s">
        <v>50</v>
      </c>
      <c r="B3" t="s">
        <v>380</v>
      </c>
      <c r="C3">
        <v>30</v>
      </c>
      <c r="D3" t="s">
        <v>15</v>
      </c>
      <c r="F3" t="s">
        <v>50</v>
      </c>
      <c r="G3" t="s">
        <v>62</v>
      </c>
      <c r="H3">
        <v>30</v>
      </c>
      <c r="I3" t="s">
        <v>25</v>
      </c>
      <c r="K3" s="14" t="s">
        <v>50</v>
      </c>
      <c r="L3" s="23" t="s">
        <v>87</v>
      </c>
      <c r="M3" s="14">
        <v>30</v>
      </c>
      <c r="N3" s="14" t="s">
        <v>15</v>
      </c>
      <c r="P3" s="14" t="s">
        <v>50</v>
      </c>
      <c r="Q3" s="14" t="s">
        <v>84</v>
      </c>
      <c r="R3" s="14">
        <v>30</v>
      </c>
      <c r="S3" s="14" t="s">
        <v>15</v>
      </c>
      <c r="U3" s="14" t="s">
        <v>331</v>
      </c>
      <c r="V3" s="14">
        <v>30</v>
      </c>
      <c r="W3" s="14" t="s">
        <v>15</v>
      </c>
      <c r="X3" s="23" t="s">
        <v>162</v>
      </c>
    </row>
    <row r="4" spans="1:24">
      <c r="A4" s="52" t="s">
        <v>180</v>
      </c>
      <c r="B4" t="s">
        <v>380</v>
      </c>
      <c r="C4">
        <v>30</v>
      </c>
      <c r="D4" t="s">
        <v>15</v>
      </c>
      <c r="F4" s="52" t="s">
        <v>180</v>
      </c>
      <c r="G4" t="s">
        <v>62</v>
      </c>
      <c r="H4">
        <v>30</v>
      </c>
      <c r="I4" t="s">
        <v>15</v>
      </c>
      <c r="K4" s="14" t="s">
        <v>180</v>
      </c>
      <c r="L4" s="23" t="s">
        <v>87</v>
      </c>
      <c r="M4" s="14">
        <v>30</v>
      </c>
      <c r="N4" s="14" t="s">
        <v>15</v>
      </c>
      <c r="P4" s="14" t="s">
        <v>50</v>
      </c>
      <c r="Q4" s="14" t="s">
        <v>262</v>
      </c>
      <c r="R4" s="14">
        <v>30</v>
      </c>
      <c r="S4" s="14" t="s">
        <v>15</v>
      </c>
      <c r="U4" s="14" t="s">
        <v>267</v>
      </c>
      <c r="V4" s="14">
        <v>30</v>
      </c>
      <c r="W4" s="14" t="s">
        <v>15</v>
      </c>
      <c r="X4" s="23" t="s">
        <v>162</v>
      </c>
    </row>
    <row r="5" spans="1:24">
      <c r="A5" s="53" t="s">
        <v>181</v>
      </c>
      <c r="B5" t="s">
        <v>380</v>
      </c>
      <c r="C5">
        <v>30</v>
      </c>
      <c r="D5" t="s">
        <v>15</v>
      </c>
      <c r="F5" s="53" t="s">
        <v>181</v>
      </c>
      <c r="G5" t="s">
        <v>62</v>
      </c>
      <c r="H5">
        <v>30</v>
      </c>
      <c r="I5" t="s">
        <v>15</v>
      </c>
      <c r="K5" s="14" t="s">
        <v>181</v>
      </c>
      <c r="L5" s="23" t="s">
        <v>87</v>
      </c>
      <c r="M5" s="14">
        <v>30</v>
      </c>
      <c r="N5" s="14" t="s">
        <v>15</v>
      </c>
      <c r="P5" s="14" t="s">
        <v>50</v>
      </c>
      <c r="Q5" s="14" t="s">
        <v>261</v>
      </c>
      <c r="R5" s="14">
        <v>30</v>
      </c>
      <c r="S5" s="14" t="s">
        <v>15</v>
      </c>
      <c r="U5" s="14" t="s">
        <v>332</v>
      </c>
      <c r="V5" s="14">
        <v>30</v>
      </c>
      <c r="W5" s="14" t="s">
        <v>15</v>
      </c>
      <c r="X5" s="23" t="s">
        <v>162</v>
      </c>
    </row>
    <row r="6" spans="1:24">
      <c r="A6" s="52" t="s">
        <v>182</v>
      </c>
      <c r="B6" t="s">
        <v>380</v>
      </c>
      <c r="C6">
        <v>30</v>
      </c>
      <c r="D6" t="s">
        <v>15</v>
      </c>
      <c r="F6" s="52" t="s">
        <v>182</v>
      </c>
      <c r="G6" t="s">
        <v>62</v>
      </c>
      <c r="H6">
        <v>30</v>
      </c>
      <c r="I6" t="s">
        <v>15</v>
      </c>
      <c r="K6" s="14" t="s">
        <v>182</v>
      </c>
      <c r="L6" s="23" t="s">
        <v>87</v>
      </c>
      <c r="M6" s="14">
        <v>30</v>
      </c>
      <c r="N6" s="14" t="s">
        <v>15</v>
      </c>
      <c r="P6" s="14" t="s">
        <v>50</v>
      </c>
      <c r="Q6" s="14" t="s">
        <v>333</v>
      </c>
      <c r="R6" s="14">
        <v>30</v>
      </c>
      <c r="S6" s="14" t="s">
        <v>15</v>
      </c>
      <c r="U6" s="14" t="s">
        <v>257</v>
      </c>
      <c r="V6" s="14">
        <v>30</v>
      </c>
      <c r="W6" s="14" t="s">
        <v>15</v>
      </c>
      <c r="X6" s="23" t="s">
        <v>162</v>
      </c>
    </row>
    <row r="7" spans="1:24">
      <c r="A7" s="52" t="s">
        <v>183</v>
      </c>
      <c r="B7" t="s">
        <v>380</v>
      </c>
      <c r="C7">
        <v>30</v>
      </c>
      <c r="D7" t="s">
        <v>15</v>
      </c>
      <c r="F7" s="52" t="s">
        <v>183</v>
      </c>
      <c r="G7" t="s">
        <v>62</v>
      </c>
      <c r="H7">
        <v>30</v>
      </c>
      <c r="I7" t="s">
        <v>15</v>
      </c>
      <c r="K7" s="14" t="s">
        <v>183</v>
      </c>
      <c r="L7" s="23" t="s">
        <v>87</v>
      </c>
      <c r="M7" s="14">
        <v>30</v>
      </c>
      <c r="N7" s="14" t="s">
        <v>15</v>
      </c>
      <c r="P7" s="14" t="s">
        <v>50</v>
      </c>
      <c r="Q7" s="33" t="s">
        <v>334</v>
      </c>
      <c r="R7" s="23">
        <v>30</v>
      </c>
      <c r="S7" s="23" t="s">
        <v>25</v>
      </c>
      <c r="U7" s="14" t="s">
        <v>258</v>
      </c>
      <c r="V7" s="14">
        <v>30</v>
      </c>
      <c r="W7" s="14" t="s">
        <v>15</v>
      </c>
      <c r="X7" s="23" t="s">
        <v>162</v>
      </c>
    </row>
    <row r="8" spans="1:24">
      <c r="A8" s="52" t="s">
        <v>184</v>
      </c>
      <c r="B8" t="s">
        <v>380</v>
      </c>
      <c r="C8">
        <v>30</v>
      </c>
      <c r="D8" t="s">
        <v>15</v>
      </c>
      <c r="F8" s="52" t="s">
        <v>184</v>
      </c>
      <c r="G8" t="s">
        <v>62</v>
      </c>
      <c r="H8">
        <v>30</v>
      </c>
      <c r="I8" t="s">
        <v>15</v>
      </c>
      <c r="K8" s="14" t="s">
        <v>184</v>
      </c>
      <c r="L8" s="23" t="s">
        <v>87</v>
      </c>
      <c r="M8" s="14">
        <v>30</v>
      </c>
      <c r="N8" s="14" t="s">
        <v>15</v>
      </c>
      <c r="P8" s="14" t="s">
        <v>50</v>
      </c>
      <c r="Q8" s="14" t="s">
        <v>270</v>
      </c>
      <c r="R8" s="14">
        <v>30</v>
      </c>
      <c r="S8" s="14" t="s">
        <v>15</v>
      </c>
      <c r="U8" s="14" t="s">
        <v>255</v>
      </c>
      <c r="V8" s="14">
        <v>30</v>
      </c>
      <c r="W8" s="14" t="s">
        <v>15</v>
      </c>
      <c r="X8" s="23" t="s">
        <v>163</v>
      </c>
    </row>
    <row r="9" spans="1:24">
      <c r="A9" s="52" t="s">
        <v>185</v>
      </c>
      <c r="B9" t="s">
        <v>380</v>
      </c>
      <c r="C9">
        <v>30</v>
      </c>
      <c r="D9" t="s">
        <v>15</v>
      </c>
      <c r="F9" s="52" t="s">
        <v>185</v>
      </c>
      <c r="G9" t="s">
        <v>62</v>
      </c>
      <c r="H9">
        <v>30</v>
      </c>
      <c r="I9" t="s">
        <v>15</v>
      </c>
      <c r="K9" s="14" t="s">
        <v>185</v>
      </c>
      <c r="L9" s="23" t="s">
        <v>87</v>
      </c>
      <c r="M9" s="14">
        <v>30</v>
      </c>
      <c r="N9" s="14" t="s">
        <v>15</v>
      </c>
      <c r="P9" s="14" t="s">
        <v>50</v>
      </c>
      <c r="Q9" s="54" t="s">
        <v>280</v>
      </c>
      <c r="R9" s="55">
        <v>60</v>
      </c>
      <c r="S9" s="14" t="s">
        <v>15</v>
      </c>
      <c r="U9" s="14" t="s">
        <v>268</v>
      </c>
      <c r="V9" s="14">
        <v>30</v>
      </c>
      <c r="W9" s="14" t="s">
        <v>15</v>
      </c>
      <c r="X9" s="23" t="s">
        <v>163</v>
      </c>
    </row>
    <row r="10" spans="1:24">
      <c r="A10" t="s">
        <v>51</v>
      </c>
      <c r="B10" t="s">
        <v>63</v>
      </c>
      <c r="C10">
        <v>30</v>
      </c>
      <c r="D10" t="s">
        <v>15</v>
      </c>
      <c r="F10" t="s">
        <v>51</v>
      </c>
      <c r="G10" t="s">
        <v>64</v>
      </c>
      <c r="H10">
        <v>30</v>
      </c>
      <c r="I10" t="s">
        <v>25</v>
      </c>
      <c r="K10" s="14" t="s">
        <v>51</v>
      </c>
      <c r="L10" s="14" t="s">
        <v>335</v>
      </c>
      <c r="M10" s="14">
        <v>30</v>
      </c>
      <c r="N10" s="14" t="s">
        <v>25</v>
      </c>
      <c r="P10" s="14" t="s">
        <v>50</v>
      </c>
      <c r="Q10" s="54" t="s">
        <v>279</v>
      </c>
      <c r="R10" s="55">
        <v>60</v>
      </c>
      <c r="S10" s="14" t="s">
        <v>15</v>
      </c>
      <c r="U10" s="14" t="s">
        <v>336</v>
      </c>
      <c r="V10" s="14">
        <v>30</v>
      </c>
      <c r="W10" s="14" t="s">
        <v>15</v>
      </c>
      <c r="X10" s="23" t="s">
        <v>163</v>
      </c>
    </row>
    <row r="11" spans="1:24">
      <c r="A11" t="s">
        <v>129</v>
      </c>
      <c r="B11" t="s">
        <v>65</v>
      </c>
      <c r="C11">
        <v>30</v>
      </c>
      <c r="D11" t="s">
        <v>25</v>
      </c>
      <c r="F11" t="s">
        <v>129</v>
      </c>
      <c r="G11" t="s">
        <v>66</v>
      </c>
      <c r="H11">
        <v>30</v>
      </c>
      <c r="I11" t="s">
        <v>15</v>
      </c>
      <c r="K11" s="14" t="s">
        <v>129</v>
      </c>
      <c r="L11" s="14" t="s">
        <v>94</v>
      </c>
      <c r="M11" s="14">
        <v>60</v>
      </c>
      <c r="N11" s="14" t="s">
        <v>15</v>
      </c>
      <c r="P11" s="14" t="s">
        <v>50</v>
      </c>
      <c r="Q11" s="54" t="s">
        <v>296</v>
      </c>
      <c r="R11" s="55">
        <v>60</v>
      </c>
      <c r="S11" s="14" t="s">
        <v>15</v>
      </c>
      <c r="U11" s="14" t="s">
        <v>337</v>
      </c>
      <c r="V11" s="14">
        <v>30</v>
      </c>
      <c r="W11" s="14" t="s">
        <v>15</v>
      </c>
      <c r="X11" s="23" t="s">
        <v>163</v>
      </c>
    </row>
    <row r="12" spans="1:24">
      <c r="A12" t="s">
        <v>52</v>
      </c>
      <c r="B12" t="s">
        <v>67</v>
      </c>
      <c r="C12">
        <v>30</v>
      </c>
      <c r="D12" t="s">
        <v>25</v>
      </c>
      <c r="F12" t="s">
        <v>52</v>
      </c>
      <c r="G12" t="s">
        <v>338</v>
      </c>
      <c r="H12">
        <v>30</v>
      </c>
      <c r="I12" t="s">
        <v>15</v>
      </c>
      <c r="K12" s="14" t="s">
        <v>52</v>
      </c>
      <c r="L12" s="23" t="s">
        <v>95</v>
      </c>
      <c r="M12" s="14">
        <v>30</v>
      </c>
      <c r="N12" s="14" t="s">
        <v>15</v>
      </c>
      <c r="P12" s="14" t="s">
        <v>50</v>
      </c>
      <c r="Q12" s="54" t="s">
        <v>288</v>
      </c>
      <c r="R12" s="55">
        <v>60</v>
      </c>
      <c r="S12" s="14" t="s">
        <v>15</v>
      </c>
      <c r="U12" s="14" t="s">
        <v>277</v>
      </c>
      <c r="V12" s="14">
        <v>30</v>
      </c>
      <c r="W12" s="14" t="s">
        <v>15</v>
      </c>
      <c r="X12" s="23" t="s">
        <v>163</v>
      </c>
    </row>
    <row r="13" spans="1:24">
      <c r="A13" t="s">
        <v>53</v>
      </c>
      <c r="B13" t="s">
        <v>18</v>
      </c>
      <c r="C13">
        <v>30</v>
      </c>
      <c r="D13" t="s">
        <v>25</v>
      </c>
      <c r="F13" t="s">
        <v>53</v>
      </c>
      <c r="G13" t="s">
        <v>19</v>
      </c>
      <c r="H13">
        <v>30</v>
      </c>
      <c r="I13" t="s">
        <v>15</v>
      </c>
      <c r="K13" s="14" t="s">
        <v>53</v>
      </c>
      <c r="L13" s="14" t="s">
        <v>27</v>
      </c>
      <c r="M13" s="14">
        <v>30</v>
      </c>
      <c r="N13" s="14" t="s">
        <v>25</v>
      </c>
      <c r="P13" s="14" t="s">
        <v>50</v>
      </c>
      <c r="Q13" s="54" t="s">
        <v>339</v>
      </c>
      <c r="R13" s="55">
        <v>60</v>
      </c>
      <c r="S13" s="14" t="s">
        <v>15</v>
      </c>
      <c r="U13" s="14" t="s">
        <v>340</v>
      </c>
      <c r="V13" s="14">
        <v>30</v>
      </c>
      <c r="W13" s="14" t="s">
        <v>15</v>
      </c>
      <c r="X13" s="23" t="s">
        <v>163</v>
      </c>
    </row>
    <row r="14" spans="1:24" ht="15" customHeight="1">
      <c r="A14" t="s">
        <v>54</v>
      </c>
      <c r="B14" t="s">
        <v>68</v>
      </c>
      <c r="C14">
        <v>30</v>
      </c>
      <c r="D14" t="s">
        <v>25</v>
      </c>
      <c r="F14" t="s">
        <v>54</v>
      </c>
      <c r="G14" t="s">
        <v>379</v>
      </c>
      <c r="H14">
        <v>30</v>
      </c>
      <c r="I14" t="s">
        <v>15</v>
      </c>
      <c r="K14" s="23" t="s">
        <v>54</v>
      </c>
      <c r="L14" s="23" t="s">
        <v>341</v>
      </c>
      <c r="M14" s="14">
        <v>30</v>
      </c>
      <c r="N14" s="14" t="s">
        <v>25</v>
      </c>
      <c r="P14" s="14" t="s">
        <v>50</v>
      </c>
      <c r="Q14" s="54" t="s">
        <v>297</v>
      </c>
      <c r="R14" s="55">
        <v>60</v>
      </c>
      <c r="S14" s="14" t="s">
        <v>15</v>
      </c>
      <c r="U14" s="14" t="s">
        <v>292</v>
      </c>
      <c r="V14" s="14">
        <v>30</v>
      </c>
      <c r="W14" s="14" t="s">
        <v>15</v>
      </c>
      <c r="X14" s="23" t="s">
        <v>163</v>
      </c>
    </row>
    <row r="15" spans="1:24">
      <c r="A15" t="s">
        <v>55</v>
      </c>
      <c r="B15" t="s">
        <v>70</v>
      </c>
      <c r="C15">
        <v>30</v>
      </c>
      <c r="D15" t="s">
        <v>25</v>
      </c>
      <c r="F15" t="s">
        <v>55</v>
      </c>
      <c r="G15" t="s">
        <v>71</v>
      </c>
      <c r="H15">
        <v>30</v>
      </c>
      <c r="I15" t="s">
        <v>15</v>
      </c>
      <c r="K15" s="14" t="s">
        <v>55</v>
      </c>
      <c r="L15" s="23" t="s">
        <v>342</v>
      </c>
      <c r="M15" s="14">
        <v>30</v>
      </c>
      <c r="N15" s="14" t="s">
        <v>15</v>
      </c>
      <c r="P15" s="14" t="s">
        <v>50</v>
      </c>
      <c r="Q15" s="54" t="s">
        <v>295</v>
      </c>
      <c r="R15" s="55">
        <v>60</v>
      </c>
      <c r="S15" s="14" t="s">
        <v>15</v>
      </c>
      <c r="U15" s="14" t="s">
        <v>300</v>
      </c>
      <c r="V15" s="14">
        <v>30</v>
      </c>
      <c r="W15" s="14" t="s">
        <v>15</v>
      </c>
      <c r="X15" s="23" t="s">
        <v>163</v>
      </c>
    </row>
    <row r="16" spans="1:24">
      <c r="A16" t="s">
        <v>56</v>
      </c>
      <c r="B16" t="s">
        <v>72</v>
      </c>
      <c r="C16">
        <v>30</v>
      </c>
      <c r="D16" t="s">
        <v>25</v>
      </c>
      <c r="F16" t="s">
        <v>56</v>
      </c>
      <c r="G16" t="s">
        <v>73</v>
      </c>
      <c r="H16">
        <v>30</v>
      </c>
      <c r="I16" t="s">
        <v>15</v>
      </c>
      <c r="K16" s="23" t="s">
        <v>56</v>
      </c>
      <c r="L16" s="23" t="s">
        <v>114</v>
      </c>
      <c r="M16" s="14">
        <v>30</v>
      </c>
      <c r="N16" s="14" t="s">
        <v>15</v>
      </c>
      <c r="P16" s="14" t="s">
        <v>51</v>
      </c>
      <c r="Q16" s="14" t="s">
        <v>88</v>
      </c>
      <c r="R16" s="14">
        <v>30</v>
      </c>
      <c r="S16" s="14" t="s">
        <v>15</v>
      </c>
      <c r="U16" s="14" t="s">
        <v>343</v>
      </c>
      <c r="V16" s="14">
        <v>30</v>
      </c>
      <c r="W16" s="14" t="s">
        <v>15</v>
      </c>
      <c r="X16" s="23" t="s">
        <v>163</v>
      </c>
    </row>
    <row r="17" spans="1:24">
      <c r="A17" t="s">
        <v>57</v>
      </c>
      <c r="B17" t="s">
        <v>252</v>
      </c>
      <c r="C17">
        <v>30</v>
      </c>
      <c r="D17" t="s">
        <v>25</v>
      </c>
      <c r="F17" t="s">
        <v>57</v>
      </c>
      <c r="G17" t="s">
        <v>266</v>
      </c>
      <c r="H17">
        <v>30</v>
      </c>
      <c r="I17" t="s">
        <v>25</v>
      </c>
      <c r="K17" s="14" t="s">
        <v>57</v>
      </c>
      <c r="L17" s="33" t="s">
        <v>135</v>
      </c>
      <c r="M17" s="14">
        <v>30</v>
      </c>
      <c r="N17" s="14" t="s">
        <v>15</v>
      </c>
      <c r="P17" s="14" t="s">
        <v>51</v>
      </c>
      <c r="Q17" s="14" t="s">
        <v>89</v>
      </c>
      <c r="R17" s="14">
        <v>30</v>
      </c>
      <c r="S17" s="14" t="s">
        <v>15</v>
      </c>
      <c r="U17" s="14" t="s">
        <v>312</v>
      </c>
      <c r="V17" s="14">
        <v>30</v>
      </c>
      <c r="W17" s="14" t="s">
        <v>15</v>
      </c>
      <c r="X17" s="23" t="s">
        <v>163</v>
      </c>
    </row>
    <row r="18" spans="1:24">
      <c r="A18" t="s">
        <v>12</v>
      </c>
      <c r="B18" t="s">
        <v>16</v>
      </c>
      <c r="C18">
        <v>30</v>
      </c>
      <c r="D18" t="s">
        <v>25</v>
      </c>
      <c r="F18" t="s">
        <v>12</v>
      </c>
      <c r="G18" t="s">
        <v>17</v>
      </c>
      <c r="H18">
        <v>30</v>
      </c>
      <c r="I18" t="s">
        <v>15</v>
      </c>
      <c r="K18" s="14" t="s">
        <v>12</v>
      </c>
      <c r="L18" s="14" t="s">
        <v>28</v>
      </c>
      <c r="M18" s="14">
        <v>30</v>
      </c>
      <c r="N18" s="14" t="s">
        <v>25</v>
      </c>
      <c r="P18" s="14" t="s">
        <v>51</v>
      </c>
      <c r="Q18" s="14" t="s">
        <v>271</v>
      </c>
      <c r="R18" s="14">
        <v>30</v>
      </c>
      <c r="S18" s="14" t="s">
        <v>15</v>
      </c>
      <c r="U18" s="23" t="s">
        <v>317</v>
      </c>
      <c r="V18" s="14">
        <v>30</v>
      </c>
      <c r="W18" s="14" t="s">
        <v>15</v>
      </c>
      <c r="X18" s="23" t="s">
        <v>163</v>
      </c>
    </row>
    <row r="19" spans="1:24">
      <c r="A19" t="s">
        <v>168</v>
      </c>
      <c r="B19" t="s">
        <v>170</v>
      </c>
      <c r="C19">
        <v>30</v>
      </c>
      <c r="D19" t="s">
        <v>25</v>
      </c>
      <c r="F19" t="s">
        <v>168</v>
      </c>
      <c r="G19" t="s">
        <v>169</v>
      </c>
      <c r="H19">
        <v>30</v>
      </c>
      <c r="I19" t="s">
        <v>15</v>
      </c>
      <c r="K19" s="33" t="s">
        <v>168</v>
      </c>
      <c r="L19" s="33" t="s">
        <v>458</v>
      </c>
      <c r="M19" s="33">
        <v>30</v>
      </c>
      <c r="N19" s="33" t="s">
        <v>25</v>
      </c>
      <c r="P19" s="14" t="s">
        <v>51</v>
      </c>
      <c r="Q19" s="14" t="s">
        <v>91</v>
      </c>
      <c r="R19" s="14">
        <v>30</v>
      </c>
      <c r="S19" s="14" t="s">
        <v>15</v>
      </c>
      <c r="U19" s="23" t="s">
        <v>321</v>
      </c>
      <c r="V19" s="14">
        <v>30</v>
      </c>
      <c r="W19" s="14" t="s">
        <v>15</v>
      </c>
      <c r="X19" s="23" t="s">
        <v>163</v>
      </c>
    </row>
    <row r="20" spans="1:24">
      <c r="A20" s="56" t="s">
        <v>186</v>
      </c>
      <c r="B20" t="s">
        <v>74</v>
      </c>
      <c r="C20">
        <v>30</v>
      </c>
      <c r="D20" t="s">
        <v>25</v>
      </c>
      <c r="F20" s="56" t="s">
        <v>186</v>
      </c>
      <c r="G20" t="s">
        <v>75</v>
      </c>
      <c r="H20">
        <v>30</v>
      </c>
      <c r="I20" t="s">
        <v>15</v>
      </c>
      <c r="K20" s="14" t="s">
        <v>186</v>
      </c>
      <c r="L20" s="14" t="s">
        <v>120</v>
      </c>
      <c r="M20" s="14">
        <v>60</v>
      </c>
      <c r="N20" s="14" t="s">
        <v>15</v>
      </c>
      <c r="P20" s="14" t="s">
        <v>51</v>
      </c>
      <c r="Q20" s="14" t="s">
        <v>344</v>
      </c>
      <c r="R20" s="14">
        <v>30</v>
      </c>
      <c r="S20" s="14" t="s">
        <v>15</v>
      </c>
    </row>
    <row r="21" spans="1:24">
      <c r="A21" s="56" t="s">
        <v>187</v>
      </c>
      <c r="B21" t="s">
        <v>74</v>
      </c>
      <c r="C21">
        <v>30</v>
      </c>
      <c r="D21" t="s">
        <v>25</v>
      </c>
      <c r="F21" s="56" t="s">
        <v>187</v>
      </c>
      <c r="G21" t="s">
        <v>75</v>
      </c>
      <c r="H21">
        <v>30</v>
      </c>
      <c r="I21" t="s">
        <v>15</v>
      </c>
      <c r="K21" s="14" t="s">
        <v>187</v>
      </c>
      <c r="L21" s="14" t="s">
        <v>121</v>
      </c>
      <c r="M21" s="14">
        <v>60</v>
      </c>
      <c r="N21" s="14" t="s">
        <v>15</v>
      </c>
      <c r="P21" s="14" t="s">
        <v>51</v>
      </c>
      <c r="Q21" s="14" t="s">
        <v>345</v>
      </c>
      <c r="R21" s="14">
        <v>30</v>
      </c>
      <c r="S21" s="14" t="s">
        <v>15</v>
      </c>
    </row>
    <row r="22" spans="1:24">
      <c r="A22" s="56" t="s">
        <v>188</v>
      </c>
      <c r="B22" t="s">
        <v>74</v>
      </c>
      <c r="C22">
        <v>30</v>
      </c>
      <c r="D22" t="s">
        <v>25</v>
      </c>
      <c r="F22" s="56" t="s">
        <v>188</v>
      </c>
      <c r="G22" t="s">
        <v>75</v>
      </c>
      <c r="H22">
        <v>30</v>
      </c>
      <c r="I22" t="s">
        <v>15</v>
      </c>
      <c r="K22" s="14" t="s">
        <v>188</v>
      </c>
      <c r="L22" s="14" t="s">
        <v>275</v>
      </c>
      <c r="M22" s="14">
        <v>60</v>
      </c>
      <c r="N22" s="14" t="s">
        <v>15</v>
      </c>
      <c r="P22" s="14" t="s">
        <v>51</v>
      </c>
      <c r="Q22" s="33" t="s">
        <v>346</v>
      </c>
      <c r="R22" s="14">
        <v>30</v>
      </c>
      <c r="S22" s="14" t="s">
        <v>15</v>
      </c>
      <c r="U22" s="2" t="s">
        <v>238</v>
      </c>
      <c r="V22" s="2"/>
      <c r="W22" s="2"/>
      <c r="X22" s="2"/>
    </row>
    <row r="23" spans="1:24">
      <c r="A23" s="56" t="s">
        <v>189</v>
      </c>
      <c r="B23" t="s">
        <v>74</v>
      </c>
      <c r="C23">
        <v>30</v>
      </c>
      <c r="D23" t="s">
        <v>25</v>
      </c>
      <c r="F23" s="56" t="s">
        <v>189</v>
      </c>
      <c r="G23" t="s">
        <v>75</v>
      </c>
      <c r="H23">
        <v>30</v>
      </c>
      <c r="I23" t="s">
        <v>15</v>
      </c>
      <c r="K23" s="14" t="s">
        <v>189</v>
      </c>
      <c r="L23" s="14" t="s">
        <v>124</v>
      </c>
      <c r="M23" s="14">
        <v>60</v>
      </c>
      <c r="N23" s="14" t="s">
        <v>15</v>
      </c>
      <c r="P23" s="14" t="s">
        <v>51</v>
      </c>
      <c r="Q23" s="33" t="s">
        <v>348</v>
      </c>
      <c r="R23" s="14">
        <v>30</v>
      </c>
      <c r="S23" s="14" t="s">
        <v>15</v>
      </c>
      <c r="U23" s="13" t="s">
        <v>13</v>
      </c>
      <c r="V23" s="13" t="s">
        <v>0</v>
      </c>
      <c r="W23" s="13" t="s">
        <v>147</v>
      </c>
      <c r="X23" s="13" t="s">
        <v>330</v>
      </c>
    </row>
    <row r="24" spans="1:24">
      <c r="A24" t="s">
        <v>59</v>
      </c>
      <c r="B24" t="s">
        <v>76</v>
      </c>
      <c r="C24">
        <v>30</v>
      </c>
      <c r="D24" t="s">
        <v>25</v>
      </c>
      <c r="F24" t="s">
        <v>59</v>
      </c>
      <c r="G24" t="s">
        <v>77</v>
      </c>
      <c r="H24">
        <v>30</v>
      </c>
      <c r="I24" t="s">
        <v>15</v>
      </c>
      <c r="K24" s="14" t="s">
        <v>59</v>
      </c>
      <c r="L24" s="14" t="s">
        <v>347</v>
      </c>
      <c r="M24" s="14">
        <v>30</v>
      </c>
      <c r="N24" s="14" t="s">
        <v>25</v>
      </c>
      <c r="P24" s="14" t="s">
        <v>51</v>
      </c>
      <c r="Q24" s="33" t="s">
        <v>349</v>
      </c>
      <c r="R24" s="14">
        <v>30</v>
      </c>
      <c r="S24" s="14" t="s">
        <v>15</v>
      </c>
      <c r="U24" s="14" t="s">
        <v>331</v>
      </c>
      <c r="V24" s="14">
        <v>30</v>
      </c>
      <c r="W24" s="14" t="s">
        <v>15</v>
      </c>
      <c r="X24" s="23" t="s">
        <v>162</v>
      </c>
    </row>
    <row r="25" spans="1:24">
      <c r="A25" t="s">
        <v>60</v>
      </c>
      <c r="B25" t="s">
        <v>78</v>
      </c>
      <c r="C25">
        <v>30</v>
      </c>
      <c r="D25" t="s">
        <v>25</v>
      </c>
      <c r="F25" t="s">
        <v>60</v>
      </c>
      <c r="G25" t="s">
        <v>79</v>
      </c>
      <c r="H25">
        <v>30</v>
      </c>
      <c r="I25" t="s">
        <v>15</v>
      </c>
      <c r="K25" s="14" t="s">
        <v>60</v>
      </c>
      <c r="L25" s="14" t="s">
        <v>81</v>
      </c>
      <c r="M25" s="14">
        <v>30</v>
      </c>
      <c r="N25" s="14" t="s">
        <v>15</v>
      </c>
      <c r="P25" s="14" t="s">
        <v>51</v>
      </c>
      <c r="Q25" s="33" t="s">
        <v>350</v>
      </c>
      <c r="R25" s="14">
        <v>30</v>
      </c>
      <c r="S25" s="14" t="s">
        <v>15</v>
      </c>
      <c r="U25" s="14" t="s">
        <v>267</v>
      </c>
      <c r="V25" s="14">
        <v>30</v>
      </c>
      <c r="W25" s="14" t="s">
        <v>15</v>
      </c>
      <c r="X25" s="23" t="s">
        <v>162</v>
      </c>
    </row>
    <row r="26" spans="1:24">
      <c r="P26" s="14" t="s">
        <v>51</v>
      </c>
      <c r="Q26" s="33" t="s">
        <v>351</v>
      </c>
      <c r="R26" s="14">
        <v>60</v>
      </c>
      <c r="S26" s="14" t="s">
        <v>15</v>
      </c>
      <c r="U26" s="14" t="s">
        <v>332</v>
      </c>
      <c r="V26" s="14">
        <v>30</v>
      </c>
      <c r="W26" s="14" t="s">
        <v>15</v>
      </c>
      <c r="X26" s="23" t="s">
        <v>162</v>
      </c>
    </row>
    <row r="27" spans="1:24">
      <c r="P27" s="14" t="s">
        <v>51</v>
      </c>
      <c r="Q27" s="33" t="s">
        <v>352</v>
      </c>
      <c r="R27" s="14">
        <v>30</v>
      </c>
      <c r="S27" s="14" t="s">
        <v>15</v>
      </c>
      <c r="U27" s="14" t="s">
        <v>255</v>
      </c>
      <c r="V27" s="14">
        <v>30</v>
      </c>
      <c r="W27" s="14" t="s">
        <v>15</v>
      </c>
      <c r="X27" s="23" t="s">
        <v>162</v>
      </c>
    </row>
    <row r="28" spans="1:24">
      <c r="A28" s="14"/>
      <c r="P28" s="14" t="s">
        <v>129</v>
      </c>
      <c r="Q28" s="14" t="s">
        <v>250</v>
      </c>
      <c r="R28" s="14">
        <v>30</v>
      </c>
      <c r="S28" s="14" t="s">
        <v>15</v>
      </c>
      <c r="U28" s="14" t="s">
        <v>268</v>
      </c>
      <c r="V28" s="14">
        <v>30</v>
      </c>
      <c r="W28" s="14" t="s">
        <v>15</v>
      </c>
      <c r="X28" s="23" t="s">
        <v>162</v>
      </c>
    </row>
    <row r="29" spans="1:24">
      <c r="P29" s="14" t="s">
        <v>129</v>
      </c>
      <c r="Q29" s="23" t="s">
        <v>264</v>
      </c>
      <c r="R29" s="14">
        <v>30</v>
      </c>
      <c r="S29" s="14" t="s">
        <v>15</v>
      </c>
      <c r="U29" s="14" t="s">
        <v>336</v>
      </c>
      <c r="V29" s="14">
        <v>30</v>
      </c>
      <c r="W29" s="14" t="s">
        <v>15</v>
      </c>
      <c r="X29" s="23" t="s">
        <v>162</v>
      </c>
    </row>
    <row r="30" spans="1:24">
      <c r="A30" t="s">
        <v>7</v>
      </c>
      <c r="B30">
        <v>1</v>
      </c>
      <c r="C30">
        <v>0</v>
      </c>
      <c r="K30" s="14" t="s">
        <v>50</v>
      </c>
      <c r="L30" s="23" t="s">
        <v>334</v>
      </c>
      <c r="M30" s="14">
        <v>30</v>
      </c>
      <c r="N30" s="14" t="s">
        <v>25</v>
      </c>
      <c r="P30" s="14" t="s">
        <v>129</v>
      </c>
      <c r="Q30" s="23" t="s">
        <v>272</v>
      </c>
      <c r="R30" s="14">
        <v>30</v>
      </c>
      <c r="S30" s="14" t="s">
        <v>15</v>
      </c>
      <c r="U30" s="14" t="s">
        <v>257</v>
      </c>
      <c r="V30" s="14">
        <v>30</v>
      </c>
      <c r="W30" s="14" t="s">
        <v>15</v>
      </c>
      <c r="X30" s="23" t="s">
        <v>163</v>
      </c>
    </row>
    <row r="31" spans="1:24">
      <c r="A31" t="s">
        <v>4</v>
      </c>
      <c r="B31">
        <v>2</v>
      </c>
      <c r="C31">
        <v>2</v>
      </c>
      <c r="K31" s="14" t="s">
        <v>180</v>
      </c>
      <c r="L31" s="23" t="s">
        <v>334</v>
      </c>
      <c r="M31" s="14">
        <v>30</v>
      </c>
      <c r="N31" s="14" t="s">
        <v>25</v>
      </c>
      <c r="P31" s="14" t="s">
        <v>129</v>
      </c>
      <c r="Q31" s="23" t="s">
        <v>281</v>
      </c>
      <c r="R31" s="14">
        <v>30</v>
      </c>
      <c r="S31" s="14" t="s">
        <v>15</v>
      </c>
      <c r="U31" s="14" t="s">
        <v>258</v>
      </c>
      <c r="V31" s="14">
        <v>30</v>
      </c>
      <c r="W31" s="14" t="s">
        <v>15</v>
      </c>
      <c r="X31" s="23" t="s">
        <v>163</v>
      </c>
    </row>
    <row r="32" spans="1:24">
      <c r="A32" t="s">
        <v>2</v>
      </c>
      <c r="B32">
        <v>3</v>
      </c>
      <c r="C32">
        <v>4</v>
      </c>
      <c r="K32" s="14" t="s">
        <v>181</v>
      </c>
      <c r="L32" s="23" t="s">
        <v>334</v>
      </c>
      <c r="M32" s="14">
        <v>30</v>
      </c>
      <c r="N32" s="14" t="s">
        <v>25</v>
      </c>
      <c r="P32" s="14" t="s">
        <v>52</v>
      </c>
      <c r="Q32" s="14" t="s">
        <v>96</v>
      </c>
      <c r="R32" s="14">
        <v>30</v>
      </c>
      <c r="S32" s="14" t="s">
        <v>15</v>
      </c>
      <c r="U32" s="14" t="s">
        <v>337</v>
      </c>
      <c r="V32" s="14">
        <v>30</v>
      </c>
      <c r="W32" s="14" t="s">
        <v>15</v>
      </c>
      <c r="X32" s="23" t="s">
        <v>163</v>
      </c>
    </row>
    <row r="33" spans="1:24">
      <c r="A33" t="s">
        <v>5</v>
      </c>
      <c r="B33">
        <v>4</v>
      </c>
      <c r="C33">
        <v>6</v>
      </c>
      <c r="K33" s="14" t="s">
        <v>182</v>
      </c>
      <c r="L33" s="23" t="s">
        <v>334</v>
      </c>
      <c r="M33" s="14">
        <v>30</v>
      </c>
      <c r="N33" s="14" t="s">
        <v>25</v>
      </c>
      <c r="P33" s="14" t="s">
        <v>52</v>
      </c>
      <c r="Q33" s="14" t="s">
        <v>133</v>
      </c>
      <c r="R33" s="14">
        <v>30</v>
      </c>
      <c r="S33" s="14" t="s">
        <v>15</v>
      </c>
      <c r="U33" s="14" t="s">
        <v>277</v>
      </c>
      <c r="V33" s="14">
        <v>30</v>
      </c>
      <c r="W33" s="14" t="s">
        <v>15</v>
      </c>
      <c r="X33" s="23" t="s">
        <v>163</v>
      </c>
    </row>
    <row r="34" spans="1:24">
      <c r="A34" t="s">
        <v>6</v>
      </c>
      <c r="B34">
        <v>5</v>
      </c>
      <c r="C34">
        <v>8</v>
      </c>
      <c r="K34" s="14" t="s">
        <v>183</v>
      </c>
      <c r="L34" s="23" t="s">
        <v>334</v>
      </c>
      <c r="M34" s="14">
        <v>30</v>
      </c>
      <c r="N34" s="14" t="s">
        <v>25</v>
      </c>
      <c r="P34" s="14" t="s">
        <v>52</v>
      </c>
      <c r="Q34" s="14" t="s">
        <v>97</v>
      </c>
      <c r="R34" s="14">
        <v>30</v>
      </c>
      <c r="S34" s="14" t="s">
        <v>15</v>
      </c>
      <c r="U34" s="14" t="s">
        <v>340</v>
      </c>
      <c r="V34" s="14">
        <v>30</v>
      </c>
      <c r="W34" s="14" t="s">
        <v>15</v>
      </c>
      <c r="X34" s="23" t="s">
        <v>163</v>
      </c>
    </row>
    <row r="35" spans="1:24">
      <c r="K35" s="14" t="s">
        <v>184</v>
      </c>
      <c r="L35" s="23" t="s">
        <v>334</v>
      </c>
      <c r="M35" s="14">
        <v>30</v>
      </c>
      <c r="N35" s="14" t="s">
        <v>25</v>
      </c>
      <c r="P35" s="14" t="s">
        <v>52</v>
      </c>
      <c r="Q35" s="14" t="s">
        <v>98</v>
      </c>
      <c r="R35" s="14">
        <v>30</v>
      </c>
      <c r="S35" s="14" t="s">
        <v>15</v>
      </c>
      <c r="U35" s="14" t="s">
        <v>292</v>
      </c>
      <c r="V35" s="14">
        <v>30</v>
      </c>
      <c r="W35" s="14" t="s">
        <v>15</v>
      </c>
      <c r="X35" s="23" t="s">
        <v>163</v>
      </c>
    </row>
    <row r="36" spans="1:24">
      <c r="A36">
        <f>Award!J9</f>
        <v>0</v>
      </c>
      <c r="K36" s="14" t="s">
        <v>185</v>
      </c>
      <c r="L36" s="23" t="s">
        <v>334</v>
      </c>
      <c r="M36" s="14">
        <v>30</v>
      </c>
      <c r="N36" s="14" t="s">
        <v>25</v>
      </c>
      <c r="P36" s="14" t="s">
        <v>52</v>
      </c>
      <c r="Q36" s="14" t="s">
        <v>99</v>
      </c>
      <c r="R36" s="14">
        <v>30</v>
      </c>
      <c r="S36" s="14" t="s">
        <v>15</v>
      </c>
      <c r="U36" s="14" t="s">
        <v>300</v>
      </c>
      <c r="V36" s="14">
        <v>30</v>
      </c>
      <c r="W36" s="14" t="s">
        <v>15</v>
      </c>
      <c r="X36" s="23" t="s">
        <v>163</v>
      </c>
    </row>
    <row r="37" spans="1:24">
      <c r="A37">
        <f>Award!J10</f>
        <v>0</v>
      </c>
      <c r="K37" s="14" t="s">
        <v>51</v>
      </c>
      <c r="L37" s="23"/>
      <c r="M37" s="14" t="s">
        <v>353</v>
      </c>
      <c r="N37" s="14" t="s">
        <v>353</v>
      </c>
      <c r="P37" s="14" t="s">
        <v>52</v>
      </c>
      <c r="Q37" s="14" t="s">
        <v>100</v>
      </c>
      <c r="R37" s="14">
        <v>30</v>
      </c>
      <c r="S37" s="14" t="s">
        <v>15</v>
      </c>
      <c r="U37" s="14" t="s">
        <v>343</v>
      </c>
      <c r="V37" s="14">
        <v>30</v>
      </c>
      <c r="W37" s="14" t="s">
        <v>15</v>
      </c>
      <c r="X37" s="23" t="s">
        <v>163</v>
      </c>
    </row>
    <row r="38" spans="1:24">
      <c r="A38">
        <f>Award!J11</f>
        <v>0</v>
      </c>
      <c r="K38" s="14" t="s">
        <v>129</v>
      </c>
      <c r="L38" s="14" t="s">
        <v>354</v>
      </c>
      <c r="M38" s="14">
        <v>30</v>
      </c>
      <c r="N38" s="14" t="s">
        <v>25</v>
      </c>
      <c r="P38" s="14" t="s">
        <v>52</v>
      </c>
      <c r="Q38" s="14" t="s">
        <v>101</v>
      </c>
      <c r="R38" s="14">
        <v>30</v>
      </c>
      <c r="S38" s="14" t="s">
        <v>15</v>
      </c>
      <c r="U38" s="14" t="s">
        <v>312</v>
      </c>
      <c r="V38" s="14">
        <v>30</v>
      </c>
      <c r="W38" s="14" t="s">
        <v>15</v>
      </c>
      <c r="X38" s="23" t="s">
        <v>163</v>
      </c>
    </row>
    <row r="39" spans="1:24">
      <c r="A39">
        <f>Award!J12</f>
        <v>0</v>
      </c>
      <c r="K39" s="14" t="s">
        <v>52</v>
      </c>
      <c r="L39" s="23" t="s">
        <v>355</v>
      </c>
      <c r="M39" s="14">
        <v>30</v>
      </c>
      <c r="N39" s="14" t="s">
        <v>25</v>
      </c>
      <c r="P39" s="14" t="s">
        <v>52</v>
      </c>
      <c r="Q39" s="23" t="s">
        <v>309</v>
      </c>
      <c r="R39" s="14">
        <v>30</v>
      </c>
      <c r="S39" s="14" t="s">
        <v>15</v>
      </c>
      <c r="U39" s="23" t="s">
        <v>317</v>
      </c>
      <c r="V39" s="14">
        <v>30</v>
      </c>
      <c r="W39" s="14" t="s">
        <v>15</v>
      </c>
      <c r="X39" s="23" t="s">
        <v>163</v>
      </c>
    </row>
    <row r="40" spans="1:24">
      <c r="K40" s="14" t="s">
        <v>53</v>
      </c>
      <c r="L40" s="23"/>
      <c r="M40" s="23"/>
      <c r="N40" s="23"/>
      <c r="P40" s="14" t="s">
        <v>52</v>
      </c>
      <c r="Q40" s="23" t="s">
        <v>314</v>
      </c>
      <c r="R40" s="14">
        <v>30</v>
      </c>
      <c r="S40" s="14" t="s">
        <v>15</v>
      </c>
      <c r="U40" s="23" t="s">
        <v>321</v>
      </c>
      <c r="V40" s="14">
        <v>30</v>
      </c>
      <c r="W40" s="14" t="s">
        <v>15</v>
      </c>
      <c r="X40" s="23" t="s">
        <v>163</v>
      </c>
    </row>
    <row r="41" spans="1:24">
      <c r="A41">
        <f>Certificate!I9</f>
        <v>0</v>
      </c>
      <c r="K41" s="23" t="s">
        <v>54</v>
      </c>
      <c r="L41" s="23" t="s">
        <v>356</v>
      </c>
      <c r="M41" s="14">
        <v>30</v>
      </c>
      <c r="N41" s="14" t="s">
        <v>15</v>
      </c>
      <c r="P41" s="14" t="s">
        <v>52</v>
      </c>
      <c r="Q41" s="23" t="s">
        <v>319</v>
      </c>
      <c r="R41" s="14">
        <v>30</v>
      </c>
      <c r="S41" s="14" t="s">
        <v>15</v>
      </c>
    </row>
    <row r="42" spans="1:24">
      <c r="A42">
        <f>Certificate!I10</f>
        <v>0</v>
      </c>
      <c r="K42" s="14" t="s">
        <v>55</v>
      </c>
      <c r="L42" s="23" t="s">
        <v>357</v>
      </c>
      <c r="M42" s="14">
        <v>30</v>
      </c>
      <c r="N42" s="14" t="s">
        <v>25</v>
      </c>
      <c r="P42" s="14" t="s">
        <v>52</v>
      </c>
      <c r="Q42" s="23" t="s">
        <v>322</v>
      </c>
      <c r="R42" s="14">
        <v>30</v>
      </c>
      <c r="S42" s="14" t="s">
        <v>15</v>
      </c>
    </row>
    <row r="43" spans="1:24" ht="28">
      <c r="A43">
        <f>Certificate!I12</f>
        <v>0</v>
      </c>
      <c r="K43" s="33" t="s">
        <v>56</v>
      </c>
      <c r="L43" s="70" t="s">
        <v>367</v>
      </c>
      <c r="M43" s="14">
        <v>30</v>
      </c>
      <c r="N43" s="14" t="s">
        <v>25</v>
      </c>
      <c r="P43" s="14" t="s">
        <v>53</v>
      </c>
      <c r="Q43" s="33" t="s">
        <v>20</v>
      </c>
      <c r="R43" s="14">
        <v>30</v>
      </c>
      <c r="S43" s="14" t="s">
        <v>15</v>
      </c>
      <c r="U43" s="13" t="s">
        <v>13</v>
      </c>
      <c r="V43" s="13" t="s">
        <v>0</v>
      </c>
      <c r="W43" s="13" t="s">
        <v>147</v>
      </c>
      <c r="X43" s="13" t="s">
        <v>330</v>
      </c>
    </row>
    <row r="44" spans="1:24">
      <c r="A44">
        <f>Certificate!I13</f>
        <v>0</v>
      </c>
      <c r="K44" s="14" t="s">
        <v>57</v>
      </c>
      <c r="L44" s="23"/>
      <c r="M44" s="14" t="s">
        <v>353</v>
      </c>
      <c r="N44" s="14" t="s">
        <v>353</v>
      </c>
      <c r="P44" s="14" t="s">
        <v>53</v>
      </c>
      <c r="Q44" s="14" t="s">
        <v>21</v>
      </c>
      <c r="R44" s="14">
        <v>30</v>
      </c>
      <c r="S44" s="14" t="s">
        <v>15</v>
      </c>
      <c r="U44" s="14" t="s">
        <v>331</v>
      </c>
      <c r="V44" s="14">
        <v>30</v>
      </c>
      <c r="W44" s="14" t="s">
        <v>15</v>
      </c>
      <c r="X44" s="23" t="s">
        <v>162</v>
      </c>
    </row>
    <row r="45" spans="1:24">
      <c r="A45">
        <f>Certificate!I14</f>
        <v>0</v>
      </c>
      <c r="K45" s="14" t="s">
        <v>12</v>
      </c>
      <c r="L45" s="23"/>
      <c r="M45" s="14" t="s">
        <v>353</v>
      </c>
      <c r="N45" s="14" t="s">
        <v>353</v>
      </c>
      <c r="P45" s="14" t="s">
        <v>53</v>
      </c>
      <c r="Q45" s="14" t="s">
        <v>22</v>
      </c>
      <c r="R45" s="14">
        <v>30</v>
      </c>
      <c r="S45" s="14" t="s">
        <v>15</v>
      </c>
      <c r="U45" s="14" t="s">
        <v>267</v>
      </c>
      <c r="V45" s="14">
        <v>30</v>
      </c>
      <c r="W45" s="14" t="s">
        <v>15</v>
      </c>
      <c r="X45" s="23" t="s">
        <v>162</v>
      </c>
    </row>
    <row r="46" spans="1:24">
      <c r="A46">
        <f>Certificate!I15</f>
        <v>0</v>
      </c>
      <c r="K46" s="14" t="s">
        <v>186</v>
      </c>
      <c r="L46" s="14" t="s">
        <v>358</v>
      </c>
      <c r="M46" s="14">
        <v>30</v>
      </c>
      <c r="N46" s="14" t="s">
        <v>25</v>
      </c>
      <c r="P46" s="14" t="s">
        <v>53</v>
      </c>
      <c r="Q46" s="14" t="s">
        <v>282</v>
      </c>
      <c r="R46" s="14">
        <v>30</v>
      </c>
      <c r="S46" s="14" t="s">
        <v>15</v>
      </c>
      <c r="U46" s="14" t="s">
        <v>332</v>
      </c>
      <c r="V46" s="14">
        <v>30</v>
      </c>
      <c r="W46" s="14" t="s">
        <v>15</v>
      </c>
      <c r="X46" s="23" t="s">
        <v>162</v>
      </c>
    </row>
    <row r="47" spans="1:24">
      <c r="A47">
        <f>Certificate!I17</f>
        <v>0</v>
      </c>
      <c r="K47" s="14" t="s">
        <v>187</v>
      </c>
      <c r="L47" s="14" t="s">
        <v>358</v>
      </c>
      <c r="M47" s="14">
        <v>30</v>
      </c>
      <c r="N47" s="14" t="s">
        <v>25</v>
      </c>
      <c r="P47" s="14" t="s">
        <v>53</v>
      </c>
      <c r="Q47" s="14" t="s">
        <v>24</v>
      </c>
      <c r="R47" s="14">
        <v>30</v>
      </c>
      <c r="S47" s="14" t="s">
        <v>15</v>
      </c>
      <c r="U47" s="14" t="s">
        <v>258</v>
      </c>
      <c r="V47" s="14">
        <v>30</v>
      </c>
      <c r="W47" s="14" t="s">
        <v>15</v>
      </c>
      <c r="X47" s="23" t="s">
        <v>163</v>
      </c>
    </row>
    <row r="48" spans="1:24">
      <c r="A48">
        <f>Certificate!I18</f>
        <v>0</v>
      </c>
      <c r="K48" s="14" t="s">
        <v>188</v>
      </c>
      <c r="L48" s="14" t="s">
        <v>358</v>
      </c>
      <c r="M48" s="14">
        <v>30</v>
      </c>
      <c r="N48" s="14" t="s">
        <v>25</v>
      </c>
      <c r="P48" s="14" t="s">
        <v>53</v>
      </c>
      <c r="Q48" s="33" t="s">
        <v>43</v>
      </c>
      <c r="R48" s="14">
        <v>60</v>
      </c>
      <c r="S48" s="14" t="s">
        <v>15</v>
      </c>
      <c r="U48" s="14" t="s">
        <v>255</v>
      </c>
      <c r="V48" s="14">
        <v>30</v>
      </c>
      <c r="W48" s="14" t="s">
        <v>15</v>
      </c>
      <c r="X48" s="23" t="s">
        <v>163</v>
      </c>
    </row>
    <row r="49" spans="1:24">
      <c r="A49">
        <f>Certificate!I19</f>
        <v>0</v>
      </c>
      <c r="K49" s="14" t="s">
        <v>189</v>
      </c>
      <c r="L49" s="14" t="s">
        <v>358</v>
      </c>
      <c r="M49" s="14">
        <v>30</v>
      </c>
      <c r="N49" s="14" t="s">
        <v>25</v>
      </c>
      <c r="P49" s="14" t="s">
        <v>53</v>
      </c>
      <c r="Q49" s="14" t="s">
        <v>44</v>
      </c>
      <c r="R49" s="14">
        <v>60</v>
      </c>
      <c r="S49" s="14" t="s">
        <v>15</v>
      </c>
      <c r="U49" s="14" t="s">
        <v>268</v>
      </c>
      <c r="V49" s="14">
        <v>30</v>
      </c>
      <c r="W49" s="14" t="s">
        <v>15</v>
      </c>
      <c r="X49" s="23" t="s">
        <v>163</v>
      </c>
    </row>
    <row r="50" spans="1:24">
      <c r="A50">
        <f>Certificate!I20</f>
        <v>0</v>
      </c>
      <c r="K50" s="14" t="s">
        <v>59</v>
      </c>
      <c r="L50" s="23"/>
      <c r="M50" s="14" t="s">
        <v>353</v>
      </c>
      <c r="N50" s="14" t="s">
        <v>353</v>
      </c>
      <c r="P50" s="14" t="s">
        <v>53</v>
      </c>
      <c r="Q50" s="14" t="s">
        <v>45</v>
      </c>
      <c r="R50" s="14">
        <v>60</v>
      </c>
      <c r="S50" s="14" t="s">
        <v>15</v>
      </c>
      <c r="U50" s="14" t="s">
        <v>336</v>
      </c>
      <c r="V50" s="14">
        <v>30</v>
      </c>
      <c r="W50" s="14" t="s">
        <v>15</v>
      </c>
      <c r="X50" s="23" t="s">
        <v>163</v>
      </c>
    </row>
    <row r="51" spans="1:24">
      <c r="A51">
        <f>Certificate!I21</f>
        <v>0</v>
      </c>
      <c r="K51" s="14" t="s">
        <v>60</v>
      </c>
      <c r="L51" s="14" t="s">
        <v>359</v>
      </c>
      <c r="M51" s="14">
        <v>30</v>
      </c>
      <c r="N51" s="14" t="s">
        <v>25</v>
      </c>
      <c r="P51" s="14" t="s">
        <v>53</v>
      </c>
      <c r="Q51" s="14" t="s">
        <v>287</v>
      </c>
      <c r="R51" s="14">
        <v>30</v>
      </c>
      <c r="S51" s="14" t="s">
        <v>15</v>
      </c>
      <c r="U51" s="14" t="s">
        <v>337</v>
      </c>
      <c r="V51" s="14">
        <v>30</v>
      </c>
      <c r="W51" s="14" t="s">
        <v>15</v>
      </c>
      <c r="X51" s="23" t="s">
        <v>163</v>
      </c>
    </row>
    <row r="52" spans="1:24">
      <c r="A52">
        <f>Certificate!I23</f>
        <v>0</v>
      </c>
      <c r="P52" s="14" t="s">
        <v>53</v>
      </c>
      <c r="Q52" s="14" t="s">
        <v>47</v>
      </c>
      <c r="R52" s="14">
        <v>30</v>
      </c>
      <c r="S52" s="14" t="s">
        <v>15</v>
      </c>
      <c r="U52" s="14" t="s">
        <v>340</v>
      </c>
      <c r="V52" s="14">
        <v>30</v>
      </c>
      <c r="W52" s="14" t="s">
        <v>15</v>
      </c>
      <c r="X52" s="23" t="s">
        <v>163</v>
      </c>
    </row>
    <row r="53" spans="1:24">
      <c r="A53">
        <f>Certificate!I24</f>
        <v>0</v>
      </c>
      <c r="K53" s="14" t="s">
        <v>50</v>
      </c>
      <c r="L53" s="23"/>
      <c r="M53" s="23" t="s">
        <v>353</v>
      </c>
      <c r="N53" s="23" t="s">
        <v>353</v>
      </c>
      <c r="P53" s="14" t="s">
        <v>53</v>
      </c>
      <c r="Q53" s="14" t="s">
        <v>48</v>
      </c>
      <c r="R53" s="14">
        <v>30</v>
      </c>
      <c r="S53" s="14" t="s">
        <v>15</v>
      </c>
      <c r="U53" s="14" t="s">
        <v>292</v>
      </c>
      <c r="V53" s="14">
        <v>30</v>
      </c>
      <c r="W53" s="14" t="s">
        <v>15</v>
      </c>
      <c r="X53" s="23" t="s">
        <v>163</v>
      </c>
    </row>
    <row r="54" spans="1:24">
      <c r="A54">
        <f>Certificate!I25</f>
        <v>0</v>
      </c>
      <c r="K54" s="14" t="s">
        <v>180</v>
      </c>
      <c r="L54" s="23" t="s">
        <v>280</v>
      </c>
      <c r="M54" s="14">
        <v>60</v>
      </c>
      <c r="N54" s="14" t="s">
        <v>15</v>
      </c>
      <c r="P54" s="14" t="s">
        <v>53</v>
      </c>
      <c r="Q54" s="33" t="s">
        <v>360</v>
      </c>
      <c r="R54" s="33">
        <v>30</v>
      </c>
      <c r="S54" s="14" t="s">
        <v>15</v>
      </c>
      <c r="U54" s="14" t="s">
        <v>300</v>
      </c>
      <c r="V54" s="14">
        <v>30</v>
      </c>
      <c r="W54" s="14" t="s">
        <v>15</v>
      </c>
      <c r="X54" s="23" t="s">
        <v>163</v>
      </c>
    </row>
    <row r="55" spans="1:24">
      <c r="A55">
        <f>Certificate!I26</f>
        <v>0</v>
      </c>
      <c r="K55" s="14" t="s">
        <v>181</v>
      </c>
      <c r="L55" s="23" t="s">
        <v>279</v>
      </c>
      <c r="M55" s="14">
        <v>60</v>
      </c>
      <c r="N55" s="14" t="s">
        <v>15</v>
      </c>
      <c r="P55" s="14" t="s">
        <v>54</v>
      </c>
      <c r="Q55" s="14" t="s">
        <v>102</v>
      </c>
      <c r="R55" s="14">
        <v>30</v>
      </c>
      <c r="S55" s="14" t="s">
        <v>15</v>
      </c>
      <c r="U55" s="14" t="s">
        <v>343</v>
      </c>
      <c r="V55" s="14">
        <v>30</v>
      </c>
      <c r="W55" s="14" t="s">
        <v>15</v>
      </c>
      <c r="X55" s="23" t="s">
        <v>163</v>
      </c>
    </row>
    <row r="56" spans="1:24">
      <c r="K56" s="14" t="s">
        <v>182</v>
      </c>
      <c r="L56" s="23" t="s">
        <v>297</v>
      </c>
      <c r="M56" s="14">
        <v>60</v>
      </c>
      <c r="N56" s="14" t="s">
        <v>15</v>
      </c>
      <c r="P56" s="14" t="s">
        <v>54</v>
      </c>
      <c r="Q56" s="14" t="s">
        <v>103</v>
      </c>
      <c r="R56" s="14">
        <v>30</v>
      </c>
      <c r="S56" s="14" t="s">
        <v>15</v>
      </c>
      <c r="U56" s="14" t="s">
        <v>312</v>
      </c>
      <c r="V56" s="14">
        <v>30</v>
      </c>
      <c r="W56" s="14" t="s">
        <v>15</v>
      </c>
      <c r="X56" s="23" t="s">
        <v>163</v>
      </c>
    </row>
    <row r="57" spans="1:24">
      <c r="K57" s="14" t="s">
        <v>183</v>
      </c>
      <c r="L57" s="23" t="s">
        <v>295</v>
      </c>
      <c r="M57" s="14">
        <v>60</v>
      </c>
      <c r="N57" s="14" t="s">
        <v>15</v>
      </c>
      <c r="P57" s="14" t="s">
        <v>54</v>
      </c>
      <c r="Q57" s="14" t="s">
        <v>104</v>
      </c>
      <c r="R57" s="14">
        <v>30</v>
      </c>
      <c r="S57" s="14" t="s">
        <v>15</v>
      </c>
      <c r="U57" s="23" t="s">
        <v>317</v>
      </c>
      <c r="V57" s="14">
        <v>30</v>
      </c>
      <c r="W57" s="14" t="s">
        <v>15</v>
      </c>
      <c r="X57" s="23" t="s">
        <v>163</v>
      </c>
    </row>
    <row r="58" spans="1:24">
      <c r="K58" s="14" t="s">
        <v>184</v>
      </c>
      <c r="L58" s="23" t="s">
        <v>339</v>
      </c>
      <c r="M58" s="14">
        <v>60</v>
      </c>
      <c r="N58" s="14" t="s">
        <v>15</v>
      </c>
      <c r="P58" s="14" t="s">
        <v>54</v>
      </c>
      <c r="Q58" s="14" t="s">
        <v>105</v>
      </c>
      <c r="R58" s="14">
        <v>30</v>
      </c>
      <c r="S58" s="14" t="s">
        <v>15</v>
      </c>
      <c r="U58" s="23" t="s">
        <v>321</v>
      </c>
      <c r="V58" s="14">
        <v>30</v>
      </c>
      <c r="W58" s="14" t="s">
        <v>15</v>
      </c>
      <c r="X58" s="23" t="s">
        <v>163</v>
      </c>
    </row>
    <row r="59" spans="1:24">
      <c r="K59" s="14" t="s">
        <v>185</v>
      </c>
      <c r="L59" s="23" t="s">
        <v>296</v>
      </c>
      <c r="M59" s="14">
        <v>60</v>
      </c>
      <c r="N59" s="14" t="s">
        <v>15</v>
      </c>
      <c r="P59" s="14" t="s">
        <v>54</v>
      </c>
      <c r="Q59" s="14" t="s">
        <v>106</v>
      </c>
      <c r="R59" s="14">
        <v>60</v>
      </c>
      <c r="S59" s="14" t="s">
        <v>15</v>
      </c>
    </row>
    <row r="60" spans="1:24">
      <c r="K60" s="14" t="s">
        <v>51</v>
      </c>
      <c r="L60" s="23"/>
      <c r="M60" s="14" t="s">
        <v>353</v>
      </c>
      <c r="N60" s="14" t="s">
        <v>353</v>
      </c>
      <c r="P60" s="14" t="s">
        <v>54</v>
      </c>
      <c r="Q60" s="14" t="s">
        <v>107</v>
      </c>
      <c r="R60" s="14">
        <v>60</v>
      </c>
      <c r="S60" s="14" t="s">
        <v>15</v>
      </c>
    </row>
    <row r="61" spans="1:24">
      <c r="K61" s="14" t="s">
        <v>129</v>
      </c>
      <c r="L61" s="23"/>
      <c r="M61" s="14" t="s">
        <v>353</v>
      </c>
      <c r="N61" s="14" t="s">
        <v>353</v>
      </c>
      <c r="P61" s="14" t="s">
        <v>54</v>
      </c>
      <c r="Q61" s="23" t="s">
        <v>304</v>
      </c>
      <c r="R61" s="14">
        <v>30</v>
      </c>
      <c r="S61" s="14" t="s">
        <v>15</v>
      </c>
      <c r="U61" s="2" t="s">
        <v>240</v>
      </c>
      <c r="V61" s="2"/>
      <c r="W61" s="2"/>
      <c r="X61" s="2"/>
    </row>
    <row r="62" spans="1:24">
      <c r="K62" s="14" t="s">
        <v>52</v>
      </c>
      <c r="L62" s="23"/>
      <c r="M62" s="14" t="s">
        <v>353</v>
      </c>
      <c r="N62" s="14" t="s">
        <v>353</v>
      </c>
      <c r="P62" s="14" t="s">
        <v>54</v>
      </c>
      <c r="Q62" s="23" t="s">
        <v>310</v>
      </c>
      <c r="R62" s="14">
        <v>60</v>
      </c>
      <c r="S62" s="14" t="s">
        <v>15</v>
      </c>
      <c r="U62" s="13" t="s">
        <v>13</v>
      </c>
      <c r="V62" s="13" t="s">
        <v>0</v>
      </c>
      <c r="W62" s="13" t="s">
        <v>147</v>
      </c>
      <c r="X62" s="13" t="s">
        <v>330</v>
      </c>
    </row>
    <row r="63" spans="1:24">
      <c r="K63" s="14" t="s">
        <v>53</v>
      </c>
      <c r="L63" s="23"/>
      <c r="M63" s="14" t="s">
        <v>353</v>
      </c>
      <c r="N63" s="14" t="s">
        <v>353</v>
      </c>
      <c r="P63" s="14" t="s">
        <v>54</v>
      </c>
      <c r="Q63" s="23" t="s">
        <v>315</v>
      </c>
      <c r="R63" s="14">
        <v>30</v>
      </c>
      <c r="S63" s="14" t="s">
        <v>15</v>
      </c>
      <c r="U63" s="14" t="s">
        <v>331</v>
      </c>
      <c r="V63" s="14">
        <v>30</v>
      </c>
      <c r="W63" s="14" t="s">
        <v>15</v>
      </c>
      <c r="X63" s="23" t="s">
        <v>162</v>
      </c>
    </row>
    <row r="64" spans="1:24">
      <c r="K64" s="23" t="s">
        <v>54</v>
      </c>
      <c r="L64" s="23"/>
      <c r="M64" s="14" t="s">
        <v>353</v>
      </c>
      <c r="N64" s="14" t="s">
        <v>353</v>
      </c>
      <c r="P64" s="14" t="s">
        <v>54</v>
      </c>
      <c r="Q64" s="23" t="s">
        <v>320</v>
      </c>
      <c r="R64" s="14">
        <v>30</v>
      </c>
      <c r="S64" s="14" t="s">
        <v>15</v>
      </c>
      <c r="U64" s="14" t="s">
        <v>337</v>
      </c>
      <c r="V64" s="14">
        <v>30</v>
      </c>
      <c r="W64" s="14" t="s">
        <v>15</v>
      </c>
      <c r="X64" s="23" t="s">
        <v>162</v>
      </c>
    </row>
    <row r="65" spans="11:24">
      <c r="K65" s="14" t="s">
        <v>55</v>
      </c>
      <c r="L65" s="23"/>
      <c r="M65" s="14" t="s">
        <v>353</v>
      </c>
      <c r="N65" s="14" t="s">
        <v>353</v>
      </c>
      <c r="P65" s="14" t="s">
        <v>55</v>
      </c>
      <c r="Q65" s="14" t="s">
        <v>251</v>
      </c>
      <c r="R65" s="14">
        <v>30</v>
      </c>
      <c r="S65" s="14" t="s">
        <v>15</v>
      </c>
      <c r="U65" s="14" t="s">
        <v>277</v>
      </c>
      <c r="V65" s="14">
        <v>30</v>
      </c>
      <c r="W65" s="14" t="s">
        <v>15</v>
      </c>
      <c r="X65" s="23" t="s">
        <v>162</v>
      </c>
    </row>
    <row r="66" spans="11:24">
      <c r="K66" s="23" t="s">
        <v>56</v>
      </c>
      <c r="L66" s="23"/>
      <c r="M66" s="14" t="s">
        <v>353</v>
      </c>
      <c r="N66" s="14" t="s">
        <v>353</v>
      </c>
      <c r="P66" s="14" t="s">
        <v>55</v>
      </c>
      <c r="Q66" s="14" t="s">
        <v>265</v>
      </c>
      <c r="R66" s="14">
        <v>30</v>
      </c>
      <c r="S66" s="14" t="s">
        <v>15</v>
      </c>
      <c r="U66" s="14" t="s">
        <v>340</v>
      </c>
      <c r="V66" s="14">
        <v>30</v>
      </c>
      <c r="W66" s="14" t="s">
        <v>15</v>
      </c>
      <c r="X66" s="23" t="s">
        <v>162</v>
      </c>
    </row>
    <row r="67" spans="11:24">
      <c r="K67" s="14" t="s">
        <v>57</v>
      </c>
      <c r="L67" s="23"/>
      <c r="M67" s="14" t="s">
        <v>353</v>
      </c>
      <c r="N67" s="14" t="s">
        <v>353</v>
      </c>
      <c r="P67" s="14" t="s">
        <v>55</v>
      </c>
      <c r="Q67" s="14" t="s">
        <v>273</v>
      </c>
      <c r="R67" s="14">
        <v>30</v>
      </c>
      <c r="S67" s="14" t="s">
        <v>15</v>
      </c>
      <c r="U67" s="14" t="s">
        <v>292</v>
      </c>
      <c r="V67" s="14">
        <v>30</v>
      </c>
      <c r="W67" s="14" t="s">
        <v>15</v>
      </c>
      <c r="X67" s="23" t="s">
        <v>162</v>
      </c>
    </row>
    <row r="68" spans="11:24">
      <c r="K68" s="14" t="s">
        <v>12</v>
      </c>
      <c r="L68" s="23"/>
      <c r="M68" s="14" t="s">
        <v>353</v>
      </c>
      <c r="N68" s="14" t="s">
        <v>353</v>
      </c>
      <c r="P68" s="14" t="s">
        <v>55</v>
      </c>
      <c r="Q68" s="14" t="s">
        <v>283</v>
      </c>
      <c r="R68" s="14">
        <v>30</v>
      </c>
      <c r="S68" s="14" t="s">
        <v>15</v>
      </c>
      <c r="U68" s="14" t="s">
        <v>300</v>
      </c>
      <c r="V68" s="14">
        <v>30</v>
      </c>
      <c r="W68" s="14" t="s">
        <v>15</v>
      </c>
      <c r="X68" s="23" t="s">
        <v>162</v>
      </c>
    </row>
    <row r="69" spans="11:24">
      <c r="K69" s="14" t="s">
        <v>186</v>
      </c>
      <c r="L69" s="23"/>
      <c r="M69" s="14" t="s">
        <v>353</v>
      </c>
      <c r="N69" s="14" t="s">
        <v>353</v>
      </c>
      <c r="P69" s="14" t="s">
        <v>55</v>
      </c>
      <c r="Q69" s="14" t="s">
        <v>113</v>
      </c>
      <c r="R69" s="14">
        <v>30</v>
      </c>
      <c r="S69" s="14" t="s">
        <v>15</v>
      </c>
      <c r="U69" s="14" t="s">
        <v>343</v>
      </c>
      <c r="V69" s="14">
        <v>30</v>
      </c>
      <c r="W69" s="14" t="s">
        <v>15</v>
      </c>
      <c r="X69" s="23" t="s">
        <v>162</v>
      </c>
    </row>
    <row r="70" spans="11:24">
      <c r="K70" s="14" t="s">
        <v>187</v>
      </c>
      <c r="L70" s="23"/>
      <c r="M70" s="14" t="s">
        <v>353</v>
      </c>
      <c r="N70" s="14" t="s">
        <v>353</v>
      </c>
      <c r="P70" s="14" t="s">
        <v>55</v>
      </c>
      <c r="Q70" s="23" t="s">
        <v>299</v>
      </c>
      <c r="R70" s="14">
        <v>60</v>
      </c>
      <c r="S70" s="14" t="s">
        <v>15</v>
      </c>
      <c r="U70" s="14" t="s">
        <v>312</v>
      </c>
      <c r="V70" s="14">
        <v>30</v>
      </c>
      <c r="W70" s="14" t="s">
        <v>15</v>
      </c>
      <c r="X70" s="23" t="s">
        <v>162</v>
      </c>
    </row>
    <row r="71" spans="11:24">
      <c r="K71" s="14" t="s">
        <v>188</v>
      </c>
      <c r="L71" s="23"/>
      <c r="M71" s="14" t="s">
        <v>353</v>
      </c>
      <c r="N71" s="14" t="s">
        <v>353</v>
      </c>
      <c r="P71" s="14" t="s">
        <v>55</v>
      </c>
      <c r="Q71" s="23" t="s">
        <v>305</v>
      </c>
      <c r="R71" s="14">
        <v>30</v>
      </c>
      <c r="S71" s="14" t="s">
        <v>15</v>
      </c>
      <c r="U71" s="23" t="s">
        <v>317</v>
      </c>
      <c r="V71" s="14">
        <v>30</v>
      </c>
      <c r="W71" s="14" t="s">
        <v>15</v>
      </c>
      <c r="X71" s="23" t="s">
        <v>162</v>
      </c>
    </row>
    <row r="72" spans="11:24">
      <c r="K72" s="14" t="s">
        <v>189</v>
      </c>
      <c r="L72" s="23"/>
      <c r="M72" s="14" t="s">
        <v>353</v>
      </c>
      <c r="N72" s="14" t="s">
        <v>353</v>
      </c>
      <c r="P72" s="14" t="s">
        <v>55</v>
      </c>
      <c r="Q72" s="23" t="s">
        <v>311</v>
      </c>
      <c r="R72" s="14">
        <v>60</v>
      </c>
      <c r="S72" s="14" t="s">
        <v>15</v>
      </c>
      <c r="U72" s="23" t="s">
        <v>321</v>
      </c>
      <c r="V72" s="14">
        <v>30</v>
      </c>
      <c r="W72" s="14" t="s">
        <v>15</v>
      </c>
      <c r="X72" s="23" t="s">
        <v>162</v>
      </c>
    </row>
    <row r="73" spans="11:24">
      <c r="K73" s="14" t="s">
        <v>59</v>
      </c>
      <c r="L73" s="23"/>
      <c r="M73" s="14" t="s">
        <v>353</v>
      </c>
      <c r="N73" s="14" t="s">
        <v>353</v>
      </c>
      <c r="P73" s="14" t="s">
        <v>56</v>
      </c>
      <c r="Q73" s="14" t="s">
        <v>115</v>
      </c>
      <c r="R73" s="14">
        <v>30</v>
      </c>
      <c r="S73" s="14" t="s">
        <v>15</v>
      </c>
      <c r="U73" s="14" t="s">
        <v>332</v>
      </c>
      <c r="V73" s="14">
        <v>30</v>
      </c>
      <c r="W73" s="14" t="s">
        <v>15</v>
      </c>
      <c r="X73" s="23" t="s">
        <v>163</v>
      </c>
    </row>
    <row r="74" spans="11:24">
      <c r="K74" s="14" t="s">
        <v>60</v>
      </c>
      <c r="L74" s="23"/>
      <c r="M74" s="14" t="s">
        <v>353</v>
      </c>
      <c r="N74" s="14" t="s">
        <v>353</v>
      </c>
      <c r="P74" s="14" t="s">
        <v>56</v>
      </c>
      <c r="Q74" s="14" t="s">
        <v>116</v>
      </c>
      <c r="R74" s="14">
        <v>30</v>
      </c>
      <c r="S74" s="14" t="s">
        <v>15</v>
      </c>
      <c r="U74" s="14" t="s">
        <v>257</v>
      </c>
      <c r="V74" s="14">
        <v>30</v>
      </c>
      <c r="W74" s="14" t="s">
        <v>15</v>
      </c>
      <c r="X74" s="23" t="s">
        <v>163</v>
      </c>
    </row>
    <row r="75" spans="11:24">
      <c r="K75" s="23"/>
      <c r="L75" s="23"/>
      <c r="M75" s="23"/>
      <c r="N75" s="23"/>
      <c r="P75" s="14" t="s">
        <v>56</v>
      </c>
      <c r="Q75" s="14" t="s">
        <v>117</v>
      </c>
      <c r="R75" s="14">
        <v>30</v>
      </c>
      <c r="S75" s="14" t="s">
        <v>15</v>
      </c>
      <c r="U75" s="14" t="s">
        <v>258</v>
      </c>
      <c r="V75" s="14">
        <v>30</v>
      </c>
      <c r="W75" s="14" t="s">
        <v>15</v>
      </c>
      <c r="X75" s="23" t="s">
        <v>163</v>
      </c>
    </row>
    <row r="76" spans="11:24">
      <c r="P76" s="14" t="s">
        <v>56</v>
      </c>
      <c r="Q76" s="14" t="s">
        <v>118</v>
      </c>
      <c r="R76" s="14">
        <v>30</v>
      </c>
      <c r="S76" s="14" t="s">
        <v>15</v>
      </c>
      <c r="U76" s="14" t="s">
        <v>255</v>
      </c>
      <c r="V76" s="14">
        <v>30</v>
      </c>
      <c r="W76" s="14" t="s">
        <v>15</v>
      </c>
      <c r="X76" s="23" t="s">
        <v>163</v>
      </c>
    </row>
    <row r="77" spans="11:24">
      <c r="P77" s="14" t="s">
        <v>56</v>
      </c>
      <c r="Q77" s="14" t="s">
        <v>119</v>
      </c>
      <c r="R77" s="14">
        <v>30</v>
      </c>
      <c r="S77" s="14" t="s">
        <v>15</v>
      </c>
      <c r="U77" s="14" t="s">
        <v>268</v>
      </c>
      <c r="V77" s="14">
        <v>30</v>
      </c>
      <c r="W77" s="14" t="s">
        <v>15</v>
      </c>
      <c r="X77" s="23" t="s">
        <v>163</v>
      </c>
    </row>
    <row r="78" spans="11:24">
      <c r="P78" s="14" t="s">
        <v>56</v>
      </c>
      <c r="Q78" s="23" t="s">
        <v>274</v>
      </c>
      <c r="R78" s="14">
        <v>30</v>
      </c>
      <c r="S78" s="14" t="s">
        <v>15</v>
      </c>
      <c r="U78" s="14" t="s">
        <v>336</v>
      </c>
      <c r="V78" s="14">
        <v>30</v>
      </c>
      <c r="W78" s="14" t="s">
        <v>15</v>
      </c>
      <c r="X78" s="23" t="s">
        <v>163</v>
      </c>
    </row>
    <row r="79" spans="11:24">
      <c r="P79" s="14" t="s">
        <v>56</v>
      </c>
      <c r="Q79" s="23" t="s">
        <v>289</v>
      </c>
      <c r="R79" s="14">
        <v>30</v>
      </c>
      <c r="S79" s="14" t="s">
        <v>15</v>
      </c>
      <c r="V79" s="14"/>
      <c r="W79" s="14"/>
      <c r="X79" s="23"/>
    </row>
    <row r="80" spans="11:24">
      <c r="K80" s="14" t="s">
        <v>50</v>
      </c>
      <c r="L80" s="23"/>
      <c r="M80" s="23" t="s">
        <v>353</v>
      </c>
      <c r="N80" s="23" t="s">
        <v>353</v>
      </c>
      <c r="P80" s="14" t="s">
        <v>56</v>
      </c>
      <c r="Q80" s="23" t="s">
        <v>298</v>
      </c>
      <c r="R80" s="14">
        <v>60</v>
      </c>
      <c r="S80" s="14" t="s">
        <v>15</v>
      </c>
    </row>
    <row r="81" spans="11:24">
      <c r="K81" s="14" t="s">
        <v>180</v>
      </c>
      <c r="L81" s="23"/>
      <c r="M81" s="23" t="s">
        <v>353</v>
      </c>
      <c r="N81" s="23" t="s">
        <v>353</v>
      </c>
      <c r="P81" s="14" t="s">
        <v>56</v>
      </c>
      <c r="Q81" s="23" t="s">
        <v>303</v>
      </c>
      <c r="R81" s="33">
        <v>60</v>
      </c>
      <c r="S81" s="14" t="s">
        <v>15</v>
      </c>
    </row>
    <row r="82" spans="11:24">
      <c r="K82" s="14" t="s">
        <v>181</v>
      </c>
      <c r="L82" s="23" t="s">
        <v>288</v>
      </c>
      <c r="M82" s="14">
        <v>60</v>
      </c>
      <c r="N82" s="14" t="s">
        <v>15</v>
      </c>
      <c r="P82" s="14" t="s">
        <v>57</v>
      </c>
      <c r="Q82" s="14" t="s">
        <v>253</v>
      </c>
      <c r="R82" s="14">
        <v>30</v>
      </c>
      <c r="S82" s="14" t="s">
        <v>15</v>
      </c>
      <c r="U82" s="2" t="s">
        <v>58</v>
      </c>
      <c r="V82" s="2"/>
      <c r="W82" s="2"/>
      <c r="X82" s="2"/>
    </row>
    <row r="83" spans="11:24">
      <c r="K83" s="14" t="s">
        <v>182</v>
      </c>
      <c r="L83" s="23"/>
      <c r="M83" s="23" t="s">
        <v>353</v>
      </c>
      <c r="N83" s="23" t="s">
        <v>353</v>
      </c>
      <c r="P83" s="14" t="s">
        <v>57</v>
      </c>
      <c r="Q83" s="23" t="s">
        <v>140</v>
      </c>
      <c r="R83" s="14">
        <v>30</v>
      </c>
      <c r="S83" s="14" t="s">
        <v>15</v>
      </c>
      <c r="U83" s="13" t="s">
        <v>13</v>
      </c>
      <c r="V83" s="13" t="s">
        <v>0</v>
      </c>
      <c r="W83" s="13" t="s">
        <v>147</v>
      </c>
      <c r="X83" s="13" t="s">
        <v>330</v>
      </c>
    </row>
    <row r="84" spans="11:24">
      <c r="K84" s="14" t="s">
        <v>183</v>
      </c>
      <c r="L84" s="23"/>
      <c r="M84" s="23" t="s">
        <v>353</v>
      </c>
      <c r="N84" s="23" t="s">
        <v>353</v>
      </c>
      <c r="P84" s="14" t="s">
        <v>57</v>
      </c>
      <c r="Q84" s="23" t="s">
        <v>141</v>
      </c>
      <c r="R84" s="14">
        <v>30</v>
      </c>
      <c r="S84" s="14" t="s">
        <v>15</v>
      </c>
      <c r="U84" s="14" t="s">
        <v>120</v>
      </c>
      <c r="V84" s="14">
        <v>30</v>
      </c>
      <c r="W84" s="14" t="s">
        <v>15</v>
      </c>
      <c r="X84" s="23" t="s">
        <v>162</v>
      </c>
    </row>
    <row r="85" spans="11:24">
      <c r="K85" s="14" t="s">
        <v>184</v>
      </c>
      <c r="L85" s="23"/>
      <c r="M85" s="23" t="s">
        <v>353</v>
      </c>
      <c r="N85" s="23" t="s">
        <v>353</v>
      </c>
      <c r="P85" s="14" t="s">
        <v>57</v>
      </c>
      <c r="Q85" s="23" t="s">
        <v>142</v>
      </c>
      <c r="R85" s="14">
        <v>30</v>
      </c>
      <c r="S85" s="14" t="s">
        <v>15</v>
      </c>
      <c r="U85" s="14" t="s">
        <v>121</v>
      </c>
      <c r="V85" s="14">
        <v>30</v>
      </c>
      <c r="W85" s="14" t="s">
        <v>15</v>
      </c>
      <c r="X85" s="23" t="s">
        <v>162</v>
      </c>
    </row>
    <row r="86" spans="11:24">
      <c r="K86" s="14" t="s">
        <v>185</v>
      </c>
      <c r="L86" s="23"/>
      <c r="M86" s="23" t="s">
        <v>353</v>
      </c>
      <c r="N86" s="23" t="s">
        <v>353</v>
      </c>
      <c r="P86" s="14" t="s">
        <v>57</v>
      </c>
      <c r="Q86" s="23" t="s">
        <v>290</v>
      </c>
      <c r="R86" s="14">
        <v>30</v>
      </c>
      <c r="S86" s="14" t="s">
        <v>15</v>
      </c>
      <c r="U86" s="14" t="s">
        <v>122</v>
      </c>
      <c r="V86" s="14">
        <v>30</v>
      </c>
      <c r="W86" s="14" t="s">
        <v>15</v>
      </c>
      <c r="X86" s="23" t="s">
        <v>162</v>
      </c>
    </row>
    <row r="87" spans="11:24">
      <c r="K87" s="14" t="s">
        <v>51</v>
      </c>
      <c r="L87" s="23"/>
      <c r="M87" s="23" t="s">
        <v>353</v>
      </c>
      <c r="N87" s="23" t="s">
        <v>353</v>
      </c>
      <c r="P87" s="14" t="s">
        <v>57</v>
      </c>
      <c r="Q87" s="23" t="s">
        <v>143</v>
      </c>
      <c r="R87" s="14">
        <v>30</v>
      </c>
      <c r="S87" s="14" t="s">
        <v>15</v>
      </c>
      <c r="U87" s="14" t="s">
        <v>123</v>
      </c>
      <c r="V87" s="14">
        <v>30</v>
      </c>
      <c r="W87" s="14" t="s">
        <v>15</v>
      </c>
      <c r="X87" s="23" t="s">
        <v>162</v>
      </c>
    </row>
    <row r="88" spans="11:24">
      <c r="K88" s="14" t="s">
        <v>129</v>
      </c>
      <c r="L88" s="23"/>
      <c r="M88" s="23" t="s">
        <v>353</v>
      </c>
      <c r="N88" s="23" t="s">
        <v>353</v>
      </c>
      <c r="P88" s="14" t="s">
        <v>57</v>
      </c>
      <c r="Q88" s="23" t="s">
        <v>306</v>
      </c>
      <c r="R88">
        <v>60</v>
      </c>
      <c r="S88" s="14" t="s">
        <v>15</v>
      </c>
      <c r="U88" s="14" t="s">
        <v>124</v>
      </c>
      <c r="V88" s="14">
        <v>30</v>
      </c>
      <c r="W88" s="14" t="s">
        <v>15</v>
      </c>
      <c r="X88" s="23" t="s">
        <v>162</v>
      </c>
    </row>
    <row r="89" spans="11:24">
      <c r="K89" s="14" t="s">
        <v>52</v>
      </c>
      <c r="L89" s="23"/>
      <c r="M89" s="23" t="s">
        <v>353</v>
      </c>
      <c r="N89" s="23" t="s">
        <v>353</v>
      </c>
      <c r="P89" s="14" t="s">
        <v>57</v>
      </c>
      <c r="Q89" s="23" t="s">
        <v>144</v>
      </c>
      <c r="R89">
        <v>60</v>
      </c>
      <c r="S89" s="14" t="s">
        <v>15</v>
      </c>
      <c r="U89" s="14" t="s">
        <v>331</v>
      </c>
      <c r="V89" s="14">
        <v>30</v>
      </c>
      <c r="W89" s="14" t="s">
        <v>15</v>
      </c>
      <c r="X89" s="23" t="s">
        <v>163</v>
      </c>
    </row>
    <row r="90" spans="11:24">
      <c r="K90" s="14" t="s">
        <v>53</v>
      </c>
      <c r="L90" s="23"/>
      <c r="M90" s="23" t="s">
        <v>353</v>
      </c>
      <c r="N90" s="23" t="s">
        <v>353</v>
      </c>
      <c r="P90" s="14" t="s">
        <v>57</v>
      </c>
      <c r="Q90" s="23" t="s">
        <v>316</v>
      </c>
      <c r="R90">
        <v>60</v>
      </c>
      <c r="S90" s="14" t="s">
        <v>15</v>
      </c>
      <c r="U90" s="14" t="s">
        <v>267</v>
      </c>
      <c r="V90" s="14">
        <v>30</v>
      </c>
      <c r="W90" s="14" t="s">
        <v>15</v>
      </c>
      <c r="X90" s="23" t="s">
        <v>163</v>
      </c>
    </row>
    <row r="91" spans="11:24">
      <c r="K91" s="23" t="s">
        <v>54</v>
      </c>
      <c r="L91" s="23"/>
      <c r="M91" s="23" t="s">
        <v>353</v>
      </c>
      <c r="N91" s="23" t="s">
        <v>353</v>
      </c>
      <c r="P91" s="14" t="s">
        <v>57</v>
      </c>
      <c r="Q91" s="23" t="s">
        <v>145</v>
      </c>
      <c r="R91">
        <v>60</v>
      </c>
      <c r="S91" s="14" t="s">
        <v>15</v>
      </c>
      <c r="U91" s="14" t="s">
        <v>332</v>
      </c>
      <c r="V91" s="14">
        <v>30</v>
      </c>
      <c r="W91" s="14" t="s">
        <v>15</v>
      </c>
      <c r="X91" s="23" t="s">
        <v>163</v>
      </c>
    </row>
    <row r="92" spans="11:24">
      <c r="K92" s="14" t="s">
        <v>55</v>
      </c>
      <c r="L92" s="23"/>
      <c r="M92" s="23" t="s">
        <v>353</v>
      </c>
      <c r="N92" s="23" t="s">
        <v>353</v>
      </c>
      <c r="P92" s="14" t="s">
        <v>57</v>
      </c>
      <c r="Q92" s="23" t="s">
        <v>323</v>
      </c>
      <c r="R92">
        <v>60</v>
      </c>
      <c r="S92" s="14" t="s">
        <v>15</v>
      </c>
      <c r="U92" s="23" t="s">
        <v>361</v>
      </c>
      <c r="V92" s="14">
        <v>30</v>
      </c>
      <c r="W92" s="14" t="s">
        <v>15</v>
      </c>
      <c r="X92" s="23" t="s">
        <v>163</v>
      </c>
    </row>
    <row r="93" spans="11:24">
      <c r="K93" s="14" t="s">
        <v>57</v>
      </c>
      <c r="L93" s="23"/>
      <c r="M93" s="23" t="s">
        <v>353</v>
      </c>
      <c r="N93" s="23" t="s">
        <v>353</v>
      </c>
      <c r="P93" s="14" t="s">
        <v>57</v>
      </c>
      <c r="Q93" s="23" t="s">
        <v>324</v>
      </c>
      <c r="R93">
        <v>60</v>
      </c>
      <c r="S93" s="14" t="s">
        <v>15</v>
      </c>
      <c r="U93" s="23" t="s">
        <v>291</v>
      </c>
      <c r="V93" s="14">
        <v>30</v>
      </c>
      <c r="W93" s="14" t="s">
        <v>15</v>
      </c>
      <c r="X93" s="23" t="s">
        <v>163</v>
      </c>
    </row>
    <row r="94" spans="11:24">
      <c r="K94" s="23" t="s">
        <v>56</v>
      </c>
      <c r="L94" s="23"/>
      <c r="M94" s="23" t="s">
        <v>353</v>
      </c>
      <c r="N94" s="23" t="s">
        <v>353</v>
      </c>
      <c r="P94" s="14" t="s">
        <v>57</v>
      </c>
      <c r="Q94" s="23" t="s">
        <v>325</v>
      </c>
      <c r="R94">
        <v>60</v>
      </c>
      <c r="S94" s="14" t="s">
        <v>15</v>
      </c>
      <c r="U94" s="14" t="s">
        <v>257</v>
      </c>
      <c r="V94" s="14">
        <v>30</v>
      </c>
      <c r="W94" s="14" t="s">
        <v>15</v>
      </c>
      <c r="X94" s="23" t="s">
        <v>163</v>
      </c>
    </row>
    <row r="95" spans="11:24">
      <c r="K95" s="14" t="s">
        <v>12</v>
      </c>
      <c r="L95" s="23"/>
      <c r="M95" s="23" t="s">
        <v>353</v>
      </c>
      <c r="N95" s="23" t="s">
        <v>353</v>
      </c>
      <c r="P95" s="14" t="s">
        <v>57</v>
      </c>
      <c r="Q95" s="23" t="s">
        <v>326</v>
      </c>
      <c r="R95">
        <v>60</v>
      </c>
      <c r="S95" s="14" t="s">
        <v>15</v>
      </c>
      <c r="U95" s="14" t="s">
        <v>258</v>
      </c>
      <c r="V95" s="14">
        <v>30</v>
      </c>
      <c r="W95" s="14" t="s">
        <v>15</v>
      </c>
      <c r="X95" s="23" t="s">
        <v>163</v>
      </c>
    </row>
    <row r="96" spans="11:24">
      <c r="K96" s="14" t="s">
        <v>186</v>
      </c>
      <c r="L96" s="23"/>
      <c r="M96" s="23" t="s">
        <v>353</v>
      </c>
      <c r="N96" s="23" t="s">
        <v>353</v>
      </c>
      <c r="P96" s="14" t="s">
        <v>12</v>
      </c>
      <c r="Q96" s="14" t="s">
        <v>31</v>
      </c>
      <c r="R96" s="14">
        <v>30</v>
      </c>
      <c r="S96" s="14" t="s">
        <v>15</v>
      </c>
      <c r="U96" s="14" t="s">
        <v>255</v>
      </c>
      <c r="V96" s="14">
        <v>30</v>
      </c>
      <c r="W96" s="14" t="s">
        <v>15</v>
      </c>
      <c r="X96" s="23" t="s">
        <v>163</v>
      </c>
    </row>
    <row r="97" spans="11:24">
      <c r="K97" s="14" t="s">
        <v>187</v>
      </c>
      <c r="L97" s="23"/>
      <c r="M97" s="23" t="s">
        <v>353</v>
      </c>
      <c r="N97" s="23" t="s">
        <v>353</v>
      </c>
      <c r="P97" s="14" t="s">
        <v>12</v>
      </c>
      <c r="Q97" s="14" t="s">
        <v>32</v>
      </c>
      <c r="R97" s="14">
        <v>30</v>
      </c>
      <c r="S97" s="14" t="s">
        <v>15</v>
      </c>
      <c r="U97" s="14" t="s">
        <v>268</v>
      </c>
      <c r="V97" s="14">
        <v>30</v>
      </c>
      <c r="W97" s="14" t="s">
        <v>15</v>
      </c>
      <c r="X97" s="23" t="s">
        <v>163</v>
      </c>
    </row>
    <row r="98" spans="11:24">
      <c r="K98" s="14" t="s">
        <v>188</v>
      </c>
      <c r="L98" s="23"/>
      <c r="M98" s="23" t="s">
        <v>353</v>
      </c>
      <c r="N98" s="23" t="s">
        <v>353</v>
      </c>
      <c r="P98" s="14" t="s">
        <v>12</v>
      </c>
      <c r="Q98" s="14" t="s">
        <v>33</v>
      </c>
      <c r="R98" s="14">
        <v>30</v>
      </c>
      <c r="S98" s="14" t="s">
        <v>15</v>
      </c>
      <c r="U98" s="14" t="s">
        <v>336</v>
      </c>
      <c r="V98" s="14">
        <v>30</v>
      </c>
      <c r="W98" s="14" t="s">
        <v>15</v>
      </c>
      <c r="X98" s="23" t="s">
        <v>163</v>
      </c>
    </row>
    <row r="99" spans="11:24">
      <c r="K99" s="14" t="s">
        <v>189</v>
      </c>
      <c r="L99" s="23"/>
      <c r="M99" s="23" t="s">
        <v>353</v>
      </c>
      <c r="N99" s="23" t="s">
        <v>353</v>
      </c>
      <c r="P99" s="14" t="s">
        <v>12</v>
      </c>
      <c r="Q99" s="14" t="s">
        <v>34</v>
      </c>
      <c r="R99" s="14">
        <v>30</v>
      </c>
      <c r="S99" s="14" t="s">
        <v>15</v>
      </c>
      <c r="U99" s="14" t="s">
        <v>337</v>
      </c>
      <c r="V99" s="14">
        <v>30</v>
      </c>
      <c r="W99" s="14" t="s">
        <v>15</v>
      </c>
      <c r="X99" s="23" t="s">
        <v>163</v>
      </c>
    </row>
    <row r="100" spans="11:24">
      <c r="K100" s="14" t="s">
        <v>59</v>
      </c>
      <c r="L100" s="23"/>
      <c r="M100" s="23" t="s">
        <v>353</v>
      </c>
      <c r="N100" s="23" t="s">
        <v>353</v>
      </c>
      <c r="P100" s="14" t="s">
        <v>12</v>
      </c>
      <c r="Q100" s="14" t="s">
        <v>35</v>
      </c>
      <c r="R100" s="14">
        <v>30</v>
      </c>
      <c r="S100" s="14" t="s">
        <v>15</v>
      </c>
      <c r="U100" s="14" t="s">
        <v>277</v>
      </c>
      <c r="V100" s="14">
        <v>30</v>
      </c>
      <c r="W100" s="14" t="s">
        <v>15</v>
      </c>
      <c r="X100" s="23" t="s">
        <v>163</v>
      </c>
    </row>
    <row r="101" spans="11:24">
      <c r="K101" s="14" t="s">
        <v>60</v>
      </c>
      <c r="L101" s="23"/>
      <c r="M101" s="23" t="s">
        <v>353</v>
      </c>
      <c r="N101" s="23" t="s">
        <v>353</v>
      </c>
      <c r="P101" s="14" t="s">
        <v>12</v>
      </c>
      <c r="Q101" s="14" t="s">
        <v>36</v>
      </c>
      <c r="R101" s="14">
        <v>30</v>
      </c>
      <c r="S101" s="14" t="s">
        <v>15</v>
      </c>
      <c r="U101" s="14" t="s">
        <v>340</v>
      </c>
      <c r="V101" s="14">
        <v>30</v>
      </c>
      <c r="W101" s="14" t="s">
        <v>15</v>
      </c>
      <c r="X101" s="23" t="s">
        <v>163</v>
      </c>
    </row>
    <row r="102" spans="11:24">
      <c r="K102" s="23"/>
      <c r="L102" s="23"/>
      <c r="M102" s="23" t="s">
        <v>353</v>
      </c>
      <c r="N102" s="23" t="s">
        <v>353</v>
      </c>
      <c r="P102" s="14" t="s">
        <v>12</v>
      </c>
      <c r="Q102" s="14" t="s">
        <v>37</v>
      </c>
      <c r="R102" s="14">
        <v>30</v>
      </c>
      <c r="S102" s="14" t="s">
        <v>15</v>
      </c>
      <c r="U102" s="14" t="s">
        <v>292</v>
      </c>
      <c r="V102" s="14">
        <v>30</v>
      </c>
      <c r="W102" s="14" t="s">
        <v>15</v>
      </c>
      <c r="X102" s="23" t="s">
        <v>163</v>
      </c>
    </row>
    <row r="103" spans="11:24">
      <c r="P103" s="14" t="s">
        <v>12</v>
      </c>
      <c r="Q103" s="14" t="s">
        <v>362</v>
      </c>
      <c r="R103" s="14">
        <v>60</v>
      </c>
      <c r="S103" s="14" t="s">
        <v>15</v>
      </c>
      <c r="U103" s="14" t="s">
        <v>300</v>
      </c>
      <c r="V103" s="14">
        <v>30</v>
      </c>
      <c r="W103" s="14" t="s">
        <v>15</v>
      </c>
      <c r="X103" s="23" t="s">
        <v>163</v>
      </c>
    </row>
    <row r="104" spans="11:24">
      <c r="P104" s="14" t="s">
        <v>12</v>
      </c>
      <c r="Q104" s="14" t="s">
        <v>39</v>
      </c>
      <c r="R104" s="14">
        <v>60</v>
      </c>
      <c r="S104" s="14" t="s">
        <v>15</v>
      </c>
      <c r="U104" s="14" t="s">
        <v>343</v>
      </c>
      <c r="V104" s="14">
        <v>30</v>
      </c>
      <c r="W104" s="14" t="s">
        <v>15</v>
      </c>
      <c r="X104" s="23" t="s">
        <v>163</v>
      </c>
    </row>
    <row r="105" spans="11:24">
      <c r="P105" s="14" t="s">
        <v>12</v>
      </c>
      <c r="Q105" s="14" t="s">
        <v>363</v>
      </c>
      <c r="R105" s="14">
        <v>60</v>
      </c>
      <c r="S105" s="14" t="s">
        <v>15</v>
      </c>
      <c r="U105" s="14" t="s">
        <v>312</v>
      </c>
      <c r="V105" s="14">
        <v>30</v>
      </c>
      <c r="W105" s="14" t="s">
        <v>15</v>
      </c>
      <c r="X105" s="23" t="s">
        <v>163</v>
      </c>
    </row>
    <row r="106" spans="11:24">
      <c r="P106" s="14" t="s">
        <v>12</v>
      </c>
      <c r="Q106" s="14" t="s">
        <v>364</v>
      </c>
      <c r="R106" s="14">
        <v>60</v>
      </c>
      <c r="S106" s="14" t="s">
        <v>15</v>
      </c>
      <c r="U106" s="33" t="s">
        <v>366</v>
      </c>
      <c r="V106" s="14">
        <v>30</v>
      </c>
      <c r="W106" s="14" t="s">
        <v>15</v>
      </c>
      <c r="X106" s="23" t="s">
        <v>163</v>
      </c>
    </row>
    <row r="107" spans="11:24">
      <c r="P107" s="14" t="s">
        <v>12</v>
      </c>
      <c r="Q107" s="14" t="s">
        <v>365</v>
      </c>
      <c r="R107" s="14">
        <v>60</v>
      </c>
      <c r="S107" s="14" t="s">
        <v>15</v>
      </c>
      <c r="U107" s="33" t="s">
        <v>328</v>
      </c>
      <c r="V107" s="14">
        <v>30</v>
      </c>
      <c r="W107" s="14" t="s">
        <v>15</v>
      </c>
      <c r="X107" s="23" t="s">
        <v>163</v>
      </c>
    </row>
    <row r="108" spans="11:24">
      <c r="P108" s="97" t="s">
        <v>168</v>
      </c>
      <c r="Q108" s="97" t="s">
        <v>171</v>
      </c>
      <c r="R108" s="97">
        <v>30</v>
      </c>
      <c r="S108" s="55" t="s">
        <v>15</v>
      </c>
      <c r="U108" s="23" t="s">
        <v>317</v>
      </c>
      <c r="V108" s="14">
        <v>30</v>
      </c>
      <c r="W108" s="14" t="s">
        <v>15</v>
      </c>
      <c r="X108" s="23" t="s">
        <v>163</v>
      </c>
    </row>
    <row r="109" spans="11:24">
      <c r="P109" s="97" t="s">
        <v>168</v>
      </c>
      <c r="Q109" s="97" t="s">
        <v>460</v>
      </c>
      <c r="R109" s="97">
        <v>30</v>
      </c>
      <c r="S109" s="55" t="s">
        <v>15</v>
      </c>
      <c r="U109" s="23" t="s">
        <v>321</v>
      </c>
      <c r="V109" s="14">
        <v>30</v>
      </c>
      <c r="W109" s="14" t="s">
        <v>15</v>
      </c>
      <c r="X109" s="23" t="s">
        <v>163</v>
      </c>
    </row>
    <row r="110" spans="11:24">
      <c r="P110" s="97" t="s">
        <v>168</v>
      </c>
      <c r="Q110" s="97" t="s">
        <v>173</v>
      </c>
      <c r="R110" s="97">
        <v>30</v>
      </c>
      <c r="S110" s="55" t="s">
        <v>15</v>
      </c>
    </row>
    <row r="111" spans="11:24">
      <c r="P111" s="97" t="s">
        <v>168</v>
      </c>
      <c r="Q111" s="97" t="s">
        <v>459</v>
      </c>
      <c r="R111" s="55">
        <v>60</v>
      </c>
      <c r="S111" s="55" t="s">
        <v>15</v>
      </c>
      <c r="T111" s="23"/>
    </row>
    <row r="112" spans="11:24">
      <c r="P112" s="97" t="s">
        <v>168</v>
      </c>
      <c r="Q112" s="97" t="s">
        <v>461</v>
      </c>
      <c r="R112" s="97">
        <v>30</v>
      </c>
      <c r="S112" s="55" t="s">
        <v>15</v>
      </c>
      <c r="T112" s="23"/>
    </row>
    <row r="113" spans="16:19">
      <c r="P113" s="97" t="s">
        <v>168</v>
      </c>
      <c r="Q113" s="97" t="s">
        <v>462</v>
      </c>
      <c r="R113" s="97">
        <v>30</v>
      </c>
      <c r="S113" s="55" t="s">
        <v>15</v>
      </c>
    </row>
    <row r="114" spans="16:19">
      <c r="P114" s="97" t="s">
        <v>168</v>
      </c>
      <c r="Q114" s="97" t="s">
        <v>463</v>
      </c>
      <c r="R114" s="97">
        <v>30</v>
      </c>
      <c r="S114" s="55" t="s">
        <v>15</v>
      </c>
    </row>
    <row r="115" spans="16:19">
      <c r="P115" s="97" t="s">
        <v>168</v>
      </c>
      <c r="Q115" s="97" t="s">
        <v>464</v>
      </c>
      <c r="R115" s="97">
        <v>30</v>
      </c>
      <c r="S115" s="55" t="s">
        <v>15</v>
      </c>
    </row>
    <row r="116" spans="16:19">
      <c r="P116" s="97" t="s">
        <v>168</v>
      </c>
      <c r="Q116" s="97" t="s">
        <v>465</v>
      </c>
      <c r="R116" s="55">
        <v>60</v>
      </c>
      <c r="S116" s="55" t="s">
        <v>15</v>
      </c>
    </row>
    <row r="117" spans="16:19">
      <c r="P117" s="14" t="s">
        <v>58</v>
      </c>
      <c r="Q117" s="14" t="s">
        <v>120</v>
      </c>
      <c r="R117" s="14">
        <v>60</v>
      </c>
      <c r="S117" s="14" t="s">
        <v>15</v>
      </c>
    </row>
    <row r="118" spans="16:19">
      <c r="P118" s="14" t="s">
        <v>58</v>
      </c>
      <c r="Q118" s="14" t="s">
        <v>121</v>
      </c>
      <c r="R118" s="14">
        <v>30</v>
      </c>
      <c r="S118" s="14" t="s">
        <v>15</v>
      </c>
    </row>
    <row r="119" spans="16:19">
      <c r="P119" s="14" t="s">
        <v>58</v>
      </c>
      <c r="Q119" s="14" t="s">
        <v>275</v>
      </c>
      <c r="R119" s="14">
        <v>30</v>
      </c>
      <c r="S119" s="14" t="s">
        <v>15</v>
      </c>
    </row>
    <row r="120" spans="16:19">
      <c r="P120" s="14" t="s">
        <v>58</v>
      </c>
      <c r="Q120" s="14" t="s">
        <v>123</v>
      </c>
      <c r="R120" s="14">
        <v>30</v>
      </c>
      <c r="S120" s="14" t="s">
        <v>15</v>
      </c>
    </row>
    <row r="121" spans="16:19">
      <c r="P121" s="14" t="s">
        <v>58</v>
      </c>
      <c r="Q121" s="14" t="s">
        <v>124</v>
      </c>
      <c r="R121" s="14">
        <v>30</v>
      </c>
      <c r="S121" s="14" t="s">
        <v>15</v>
      </c>
    </row>
    <row r="122" spans="16:19">
      <c r="P122" s="14" t="s">
        <v>58</v>
      </c>
      <c r="Q122" s="14" t="s">
        <v>254</v>
      </c>
      <c r="R122" s="14">
        <v>30</v>
      </c>
      <c r="S122" s="14" t="s">
        <v>15</v>
      </c>
    </row>
    <row r="123" spans="16:19">
      <c r="P123" s="14" t="s">
        <v>58</v>
      </c>
      <c r="Q123" s="14" t="s">
        <v>267</v>
      </c>
      <c r="R123" s="14">
        <v>30</v>
      </c>
      <c r="S123" s="14" t="s">
        <v>15</v>
      </c>
    </row>
    <row r="124" spans="16:19">
      <c r="P124" s="14" t="s">
        <v>58</v>
      </c>
      <c r="Q124" s="14" t="s">
        <v>259</v>
      </c>
      <c r="R124" s="14">
        <v>30</v>
      </c>
      <c r="S124" s="14" t="s">
        <v>15</v>
      </c>
    </row>
    <row r="125" spans="16:19">
      <c r="P125" s="14" t="s">
        <v>58</v>
      </c>
      <c r="Q125" s="23" t="s">
        <v>284</v>
      </c>
      <c r="R125" s="14">
        <v>30</v>
      </c>
      <c r="S125" s="14" t="s">
        <v>15</v>
      </c>
    </row>
    <row r="126" spans="16:19">
      <c r="P126" s="14" t="s">
        <v>58</v>
      </c>
      <c r="Q126" s="23" t="s">
        <v>291</v>
      </c>
      <c r="R126" s="14">
        <v>30</v>
      </c>
      <c r="S126" s="14" t="s">
        <v>15</v>
      </c>
    </row>
    <row r="127" spans="16:19">
      <c r="P127" s="14" t="s">
        <v>58</v>
      </c>
      <c r="Q127" s="14" t="s">
        <v>257</v>
      </c>
      <c r="R127" s="14">
        <v>30</v>
      </c>
      <c r="S127" s="14" t="s">
        <v>15</v>
      </c>
    </row>
    <row r="128" spans="16:19">
      <c r="P128" s="14" t="s">
        <v>58</v>
      </c>
      <c r="Q128" s="14" t="s">
        <v>258</v>
      </c>
      <c r="R128" s="14">
        <v>30</v>
      </c>
      <c r="S128" s="14" t="s">
        <v>15</v>
      </c>
    </row>
    <row r="129" spans="16:19">
      <c r="P129" s="14" t="s">
        <v>58</v>
      </c>
      <c r="Q129" s="14" t="s">
        <v>255</v>
      </c>
      <c r="R129" s="14">
        <v>30</v>
      </c>
      <c r="S129" s="14" t="s">
        <v>15</v>
      </c>
    </row>
    <row r="130" spans="16:19">
      <c r="P130" s="14" t="s">
        <v>58</v>
      </c>
      <c r="Q130" s="14" t="s">
        <v>268</v>
      </c>
      <c r="R130" s="14">
        <v>30</v>
      </c>
      <c r="S130" s="14" t="s">
        <v>15</v>
      </c>
    </row>
    <row r="131" spans="16:19">
      <c r="P131" s="14" t="s">
        <v>58</v>
      </c>
      <c r="Q131" s="14" t="s">
        <v>276</v>
      </c>
      <c r="R131" s="14">
        <v>30</v>
      </c>
      <c r="S131" s="14" t="s">
        <v>15</v>
      </c>
    </row>
    <row r="132" spans="16:19">
      <c r="P132" s="14" t="s">
        <v>58</v>
      </c>
      <c r="Q132" s="14" t="s">
        <v>269</v>
      </c>
      <c r="R132" s="14">
        <v>30</v>
      </c>
      <c r="S132" s="14" t="s">
        <v>15</v>
      </c>
    </row>
    <row r="133" spans="16:19">
      <c r="P133" s="14" t="s">
        <v>58</v>
      </c>
      <c r="Q133" s="14" t="s">
        <v>277</v>
      </c>
      <c r="R133" s="14">
        <v>30</v>
      </c>
      <c r="S133" s="14" t="s">
        <v>15</v>
      </c>
    </row>
    <row r="134" spans="16:19">
      <c r="P134" s="14" t="s">
        <v>58</v>
      </c>
      <c r="Q134" s="14" t="s">
        <v>285</v>
      </c>
      <c r="R134" s="14">
        <v>30</v>
      </c>
      <c r="S134" s="14" t="s">
        <v>15</v>
      </c>
    </row>
    <row r="135" spans="16:19">
      <c r="P135" s="14" t="s">
        <v>58</v>
      </c>
      <c r="Q135" s="14" t="s">
        <v>292</v>
      </c>
      <c r="R135" s="14">
        <v>30</v>
      </c>
      <c r="S135" s="14" t="s">
        <v>15</v>
      </c>
    </row>
    <row r="136" spans="16:19">
      <c r="P136" s="14" t="s">
        <v>58</v>
      </c>
      <c r="Q136" s="14" t="s">
        <v>300</v>
      </c>
      <c r="R136" s="14">
        <v>30</v>
      </c>
      <c r="S136" s="14" t="s">
        <v>15</v>
      </c>
    </row>
    <row r="137" spans="16:19">
      <c r="P137" s="14" t="s">
        <v>58</v>
      </c>
      <c r="Q137" s="14" t="s">
        <v>307</v>
      </c>
      <c r="R137" s="14">
        <v>30</v>
      </c>
      <c r="S137" s="14" t="s">
        <v>15</v>
      </c>
    </row>
    <row r="138" spans="16:19">
      <c r="P138" s="14" t="s">
        <v>58</v>
      </c>
      <c r="Q138" s="14" t="s">
        <v>312</v>
      </c>
      <c r="R138" s="14">
        <v>30</v>
      </c>
      <c r="S138" s="14" t="s">
        <v>15</v>
      </c>
    </row>
    <row r="139" spans="16:19">
      <c r="P139" s="14" t="s">
        <v>58</v>
      </c>
      <c r="Q139" s="23" t="s">
        <v>327</v>
      </c>
      <c r="R139" s="14">
        <v>30</v>
      </c>
      <c r="S139" s="14" t="s">
        <v>15</v>
      </c>
    </row>
    <row r="140" spans="16:19">
      <c r="P140" s="14" t="s">
        <v>58</v>
      </c>
      <c r="Q140" s="23" t="s">
        <v>328</v>
      </c>
      <c r="R140" s="14">
        <v>30</v>
      </c>
      <c r="S140" s="14" t="s">
        <v>15</v>
      </c>
    </row>
    <row r="141" spans="16:19">
      <c r="P141" s="14" t="s">
        <v>58</v>
      </c>
      <c r="Q141" s="23" t="s">
        <v>317</v>
      </c>
      <c r="R141" s="14">
        <v>30</v>
      </c>
      <c r="S141" s="14" t="s">
        <v>15</v>
      </c>
    </row>
    <row r="142" spans="16:19">
      <c r="P142" s="14" t="s">
        <v>58</v>
      </c>
      <c r="Q142" s="23" t="s">
        <v>321</v>
      </c>
      <c r="R142" s="14">
        <v>30</v>
      </c>
      <c r="S142" s="14" t="s">
        <v>15</v>
      </c>
    </row>
    <row r="143" spans="16:19">
      <c r="P143" s="14" t="s">
        <v>59</v>
      </c>
      <c r="Q143" s="14" t="s">
        <v>125</v>
      </c>
      <c r="R143" s="14">
        <v>30</v>
      </c>
      <c r="S143" s="14" t="s">
        <v>15</v>
      </c>
    </row>
    <row r="144" spans="16:19">
      <c r="P144" s="14" t="s">
        <v>59</v>
      </c>
      <c r="Q144" s="14" t="s">
        <v>126</v>
      </c>
      <c r="R144" s="14">
        <v>30</v>
      </c>
      <c r="S144" s="14" t="s">
        <v>15</v>
      </c>
    </row>
    <row r="145" spans="16:19">
      <c r="P145" s="14" t="s">
        <v>59</v>
      </c>
      <c r="Q145" s="14" t="s">
        <v>127</v>
      </c>
      <c r="R145" s="14">
        <v>30</v>
      </c>
      <c r="S145" s="14" t="s">
        <v>15</v>
      </c>
    </row>
    <row r="146" spans="16:19">
      <c r="P146" s="14" t="s">
        <v>59</v>
      </c>
      <c r="Q146" s="14" t="s">
        <v>128</v>
      </c>
      <c r="R146" s="14">
        <v>30</v>
      </c>
      <c r="S146" s="14" t="s">
        <v>15</v>
      </c>
    </row>
    <row r="147" spans="16:19">
      <c r="P147" s="14" t="s">
        <v>59</v>
      </c>
      <c r="Q147" s="23" t="s">
        <v>293</v>
      </c>
      <c r="R147" s="14">
        <v>30</v>
      </c>
      <c r="S147" s="14" t="s">
        <v>15</v>
      </c>
    </row>
    <row r="148" spans="16:19">
      <c r="P148" s="14" t="s">
        <v>59</v>
      </c>
      <c r="Q148" s="23" t="s">
        <v>301</v>
      </c>
      <c r="R148" s="14">
        <v>30</v>
      </c>
      <c r="S148" s="14" t="s">
        <v>15</v>
      </c>
    </row>
    <row r="149" spans="16:19">
      <c r="P149" s="14" t="s">
        <v>59</v>
      </c>
      <c r="Q149" s="23" t="s">
        <v>308</v>
      </c>
      <c r="R149" s="14">
        <v>30</v>
      </c>
      <c r="S149" s="14" t="s">
        <v>15</v>
      </c>
    </row>
    <row r="150" spans="16:19">
      <c r="P150" s="14" t="s">
        <v>59</v>
      </c>
      <c r="Q150" s="23" t="s">
        <v>313</v>
      </c>
      <c r="R150" s="14">
        <v>30</v>
      </c>
      <c r="S150" s="14" t="s">
        <v>15</v>
      </c>
    </row>
    <row r="151" spans="16:19">
      <c r="P151" s="14" t="s">
        <v>59</v>
      </c>
      <c r="Q151" s="23" t="s">
        <v>318</v>
      </c>
      <c r="R151" s="14">
        <v>30</v>
      </c>
      <c r="S151" s="14" t="s">
        <v>15</v>
      </c>
    </row>
    <row r="152" spans="16:19">
      <c r="P152" s="14" t="s">
        <v>60</v>
      </c>
      <c r="Q152" s="14" t="s">
        <v>260</v>
      </c>
      <c r="R152" s="14">
        <v>30</v>
      </c>
      <c r="S152" s="14" t="s">
        <v>15</v>
      </c>
    </row>
    <row r="153" spans="16:19">
      <c r="P153" s="14" t="s">
        <v>60</v>
      </c>
      <c r="Q153" s="14" t="s">
        <v>82</v>
      </c>
      <c r="R153" s="14">
        <v>30</v>
      </c>
      <c r="S153" s="14" t="s">
        <v>15</v>
      </c>
    </row>
    <row r="154" spans="16:19">
      <c r="P154" s="14" t="s">
        <v>60</v>
      </c>
      <c r="Q154" s="14" t="s">
        <v>278</v>
      </c>
      <c r="R154" s="14">
        <v>30</v>
      </c>
      <c r="S154" s="14" t="s">
        <v>15</v>
      </c>
    </row>
    <row r="155" spans="16:19">
      <c r="P155" s="14" t="s">
        <v>60</v>
      </c>
      <c r="Q155" s="23" t="s">
        <v>286</v>
      </c>
      <c r="R155" s="14">
        <v>30</v>
      </c>
      <c r="S155" s="14" t="s">
        <v>15</v>
      </c>
    </row>
    <row r="156" spans="16:19">
      <c r="P156" s="14" t="s">
        <v>60</v>
      </c>
      <c r="Q156" s="23" t="s">
        <v>294</v>
      </c>
      <c r="R156" s="14">
        <v>30</v>
      </c>
      <c r="S156" s="14" t="s">
        <v>15</v>
      </c>
    </row>
    <row r="157" spans="16:19">
      <c r="P157" s="14" t="s">
        <v>60</v>
      </c>
      <c r="Q157" s="23" t="s">
        <v>302</v>
      </c>
      <c r="R157" s="14">
        <v>30</v>
      </c>
      <c r="S157" s="14" t="s">
        <v>15</v>
      </c>
    </row>
  </sheetData>
  <conditionalFormatting sqref="R117:R157 R3:R108">
    <cfRule type="cellIs" dxfId="30" priority="8" stopIfTrue="1" operator="equal">
      <formula>60</formula>
    </cfRule>
  </conditionalFormatting>
  <conditionalFormatting sqref="R109">
    <cfRule type="cellIs" dxfId="29" priority="6" stopIfTrue="1" operator="equal">
      <formula>60</formula>
    </cfRule>
  </conditionalFormatting>
  <conditionalFormatting sqref="R110">
    <cfRule type="cellIs" dxfId="28" priority="5" stopIfTrue="1" operator="equal">
      <formula>60</formula>
    </cfRule>
  </conditionalFormatting>
  <conditionalFormatting sqref="R112">
    <cfRule type="cellIs" dxfId="27" priority="4" stopIfTrue="1" operator="equal">
      <formula>60</formula>
    </cfRule>
  </conditionalFormatting>
  <conditionalFormatting sqref="R113">
    <cfRule type="cellIs" dxfId="26" priority="3" stopIfTrue="1" operator="equal">
      <formula>60</formula>
    </cfRule>
  </conditionalFormatting>
  <conditionalFormatting sqref="R114">
    <cfRule type="cellIs" dxfId="25" priority="2" stopIfTrue="1" operator="equal">
      <formula>60</formula>
    </cfRule>
  </conditionalFormatting>
  <conditionalFormatting sqref="R115">
    <cfRule type="cellIs" dxfId="24" priority="1" stopIfTrue="1" operator="equal">
      <formula>60</formula>
    </cfRule>
  </conditionalFormatting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I44"/>
  <sheetViews>
    <sheetView topLeftCell="DM1" zoomScale="80" zoomScaleNormal="80" zoomScalePageLayoutView="80" workbookViewId="0">
      <selection activeCell="DY18" sqref="DY18"/>
    </sheetView>
  </sheetViews>
  <sheetFormatPr baseColWidth="10" defaultColWidth="8.83203125" defaultRowHeight="12" x14ac:dyDescent="0"/>
  <cols>
    <col min="1" max="7" width="8.83203125" style="47"/>
    <col min="8" max="8" width="4.5" style="47" customWidth="1"/>
    <col min="9" max="12" width="8.83203125" style="47"/>
    <col min="13" max="13" width="8.83203125" style="47" customWidth="1"/>
    <col min="14" max="16384" width="8.83203125" style="47"/>
  </cols>
  <sheetData>
    <row r="1" spans="1:139" s="44" customFormat="1" ht="24" customHeight="1">
      <c r="A1" s="44" t="s">
        <v>50</v>
      </c>
      <c r="E1" s="45" t="s">
        <v>51</v>
      </c>
      <c r="F1" s="45"/>
      <c r="G1" s="45"/>
      <c r="I1" s="44" t="s">
        <v>129</v>
      </c>
      <c r="M1" s="44" t="s">
        <v>130</v>
      </c>
      <c r="Q1" s="44" t="s">
        <v>131</v>
      </c>
      <c r="U1" s="45" t="s">
        <v>54</v>
      </c>
      <c r="V1" s="45"/>
      <c r="W1" s="45"/>
      <c r="Y1" s="44" t="s">
        <v>132</v>
      </c>
      <c r="AC1" s="44" t="s">
        <v>234</v>
      </c>
      <c r="AG1" s="44" t="s">
        <v>139</v>
      </c>
      <c r="AK1" s="44" t="s">
        <v>138</v>
      </c>
      <c r="AO1" s="45" t="s">
        <v>235</v>
      </c>
      <c r="AP1" s="45"/>
      <c r="AQ1" s="45"/>
      <c r="AS1" s="44" t="s">
        <v>58</v>
      </c>
      <c r="AW1" s="46" t="s">
        <v>236</v>
      </c>
      <c r="AX1" s="47"/>
      <c r="AY1" s="48"/>
      <c r="BE1" s="44" t="s">
        <v>237</v>
      </c>
      <c r="BI1" s="46" t="s">
        <v>236</v>
      </c>
      <c r="BJ1" s="48"/>
      <c r="BK1" s="47"/>
      <c r="BM1" s="46" t="s">
        <v>236</v>
      </c>
      <c r="BN1" s="47"/>
      <c r="BO1" s="48"/>
      <c r="BQ1" s="44" t="s">
        <v>238</v>
      </c>
      <c r="BU1" s="46" t="s">
        <v>236</v>
      </c>
      <c r="BV1" s="47"/>
      <c r="BW1" s="47"/>
      <c r="BY1" s="44" t="s">
        <v>239</v>
      </c>
      <c r="CC1" s="46" t="s">
        <v>236</v>
      </c>
      <c r="CD1" s="47"/>
      <c r="CE1" s="47"/>
      <c r="CG1" s="44" t="s">
        <v>240</v>
      </c>
      <c r="CK1" s="46" t="s">
        <v>236</v>
      </c>
      <c r="CL1" s="47"/>
      <c r="CO1" s="44" t="s">
        <v>59</v>
      </c>
      <c r="CS1" s="44" t="s">
        <v>60</v>
      </c>
      <c r="CW1" s="44" t="s">
        <v>241</v>
      </c>
      <c r="DA1" s="44" t="s">
        <v>242</v>
      </c>
      <c r="DE1" s="44" t="s">
        <v>243</v>
      </c>
      <c r="DI1" s="44" t="s">
        <v>244</v>
      </c>
      <c r="DM1" s="44" t="s">
        <v>245</v>
      </c>
      <c r="DQ1" s="44" t="s">
        <v>246</v>
      </c>
      <c r="DU1" s="44" t="s">
        <v>247</v>
      </c>
      <c r="DY1" s="44" t="s">
        <v>248</v>
      </c>
      <c r="EC1" s="45" t="s">
        <v>249</v>
      </c>
      <c r="EG1" s="44" t="s">
        <v>603</v>
      </c>
    </row>
    <row r="2" spans="1:139" ht="15.75" customHeight="1">
      <c r="A2" s="14" t="str">
        <f>IF(OR(A24=1,A27=1),"","Unit 3 - Communicating Ideas in 2D")</f>
        <v>Unit 3 - Communicating Ideas in 2D</v>
      </c>
      <c r="B2" s="47">
        <f>IF(COUNTIF(Certificate!$G$17:$G$21,A2)&gt;=1,"",ROW())</f>
        <v>2</v>
      </c>
      <c r="C2" s="47" t="str">
        <f t="shared" ref="C2:C12" si="0">IF(ROW(A2)-ROW(A$2)+1&gt;COUNT(B$2:B$12),"",INDEX(A:A,SMALL(B$2:B$12,1+ROW(A2)-ROW(A$2))))</f>
        <v>Unit 3 - Communicating Ideas in 2D</v>
      </c>
      <c r="E2" s="14" t="s">
        <v>88</v>
      </c>
      <c r="F2" s="47">
        <f>IF(COUNTIF(Certificate!$G$17:$G$21,E2)&gt;=1,"",ROW())</f>
        <v>2</v>
      </c>
      <c r="G2" s="49" t="str">
        <f t="shared" ref="G2:G13" si="1">IF(ROW(E2)-ROW(E$2)+1&gt;COUNT(F$2:F$13),"",INDEX(E:E,SMALL(F$2:F$13,1+ROW(E2)-ROW(E$2))))</f>
        <v>Unit 3 - Promoting a Brand</v>
      </c>
      <c r="I2" s="14" t="s">
        <v>250</v>
      </c>
      <c r="J2" s="47">
        <f>IF(COUNTIF(Certificate!$G$17:$G$21,I2)&gt;=1,"",ROW())</f>
        <v>2</v>
      </c>
      <c r="K2" s="49" t="str">
        <f>IF(ROW(I2)-ROW(I$2)+1&gt;COUNT(J$2:J$5),"",INDEX(I:I,SMALL(J$2:J$5,1+ROW(I2)-ROW(I$2))))</f>
        <v>Unit 5 - Health and Safety in Early Years Settings</v>
      </c>
      <c r="M2" s="14" t="s">
        <v>96</v>
      </c>
      <c r="N2" s="47">
        <f>IF(COUNTIF(Certificate!$G$17:$G$21,M2)&gt;=1,"",ROW())</f>
        <v>2</v>
      </c>
      <c r="O2" s="49" t="str">
        <f t="shared" ref="O2:O12" si="2">IF(ROW(M2)-ROW(M$2)+1&gt;COUNT(N$2:N$12),"",INDEX(M:M,SMALL(N$2:N$12,1+ROW(M2)-ROW(M$2))))</f>
        <v>Unit 4 - Construction Processes and Operations</v>
      </c>
      <c r="Q2" s="14" t="s">
        <v>20</v>
      </c>
      <c r="R2" s="47">
        <f>IF(COUNTIF(Certificate!$G$17:$G$21,Q2)&gt;=1,"",ROW())</f>
        <v>2</v>
      </c>
      <c r="S2" s="49" t="str">
        <f>IF(ROW(Q2)-ROW(Q$2)+1&gt;COUNT(R$2:R$7),"",INDEX(Q:Q,SMALL(R$2:R$7,1+ROW(Q2)-ROW(Q$2))))</f>
        <v>Unit 3 - Digital Moving Image Production</v>
      </c>
      <c r="U2" s="14" t="s">
        <v>102</v>
      </c>
      <c r="V2" s="47">
        <f>IF(COUNTIF(Certificate!$G$17:$G$21,U2)&gt;=1,"",ROW())</f>
        <v>2</v>
      </c>
      <c r="W2" s="49" t="str">
        <f t="shared" ref="W2:W11" si="3">IF(ROW(U2)-ROW(U$2)+1&gt;COUNT(V$2:V$11),"",INDEX(U:U,SMALL(V$2:V$11,1+ROW(U2)-ROW(U$2))))</f>
        <v>Unit 3 - Health and Safety in Engineering</v>
      </c>
      <c r="Y2" s="14" t="s">
        <v>251</v>
      </c>
      <c r="Z2" s="47">
        <f>IF(COUNTIF(Certificate!$G$17:$G$21,Y2)&gt;=1,"",ROW())</f>
        <v>2</v>
      </c>
      <c r="AA2" s="49" t="str">
        <f t="shared" ref="AA2:AA9" si="4">IF(ROW(Y2)-ROW(Y$2)+1&gt;COUNT(Z$2:Z$9),"",INDEX(Y:Y,SMALL(Z$2:Z$9,1+ROW(Y2)-ROW(Y$2))))</f>
        <v>Unit 4 - Social Influences on Health and Wellbeing</v>
      </c>
      <c r="AC2" s="14" t="s">
        <v>115</v>
      </c>
      <c r="AD2" s="47">
        <f>IF(COUNTIF(Certificate!$G$17:$G$21,AC2)&gt;=1,"",ROW())</f>
        <v>2</v>
      </c>
      <c r="AE2" s="49" t="str">
        <f>IF(ROW(AC2)-ROW(AC$2)+1&gt;COUNT(AD$2:AD$4),"",INDEX(AC:AC,SMALL(AD$2:AD$4,1+ROW(AC2)-ROW(AC$2))))</f>
        <v>Unit 4 - Costing and Controlling Finances in the Hospitality Industry</v>
      </c>
      <c r="AG2" s="14" t="s">
        <v>252</v>
      </c>
      <c r="AH2" s="47">
        <f>IF(COUNTIF(Certificate!$G$17:$G$21,AG2)&gt;=1,"",ROW())</f>
        <v>2</v>
      </c>
      <c r="AI2" s="49" t="str">
        <f>IF(ROW(AG2)-ROW(AG$2)+1&gt;COUNT(AH$2:AH$3),"",INDEX(AG:AG,SMALL(AH$2:AH$3,1+ROW(AG2)-ROW(AG$2))))</f>
        <v>Unit 1 - The Online World</v>
      </c>
      <c r="AK2" s="14" t="s">
        <v>253</v>
      </c>
      <c r="AL2" s="47">
        <f>IF(COUNTIF(Certificate!$G$17:$G$21,AK2)&gt;=1,"",ROW())</f>
        <v>2</v>
      </c>
      <c r="AM2" s="49" t="str">
        <f t="shared" ref="AM2:AM15" si="5">IF(ROW(AK2)-ROW(AK$2)+1&gt;COUNT(AL$2:AL$15),"",INDEX(AK:AK,SMALL(AL$2:AL$15,1+ROW(AK2)-ROW(AK$2))))</f>
        <v>Unit 4 - Creating Digital Animation</v>
      </c>
      <c r="AO2" s="14" t="s">
        <v>31</v>
      </c>
      <c r="AP2" s="47">
        <f>IF(COUNTIF(Certificate!$G$17:$G$21,AO2)&gt;=1,"",ROW())</f>
        <v>2</v>
      </c>
      <c r="AQ2" s="49" t="str">
        <f t="shared" ref="AQ2:AQ8" si="6">IF(ROW(AO2)-ROW(AO$2)+1&gt;COUNT(AP$2:AP$8),"",INDEX(AO:AO,SMALL(AP$2:AP$8,1+ROW(AO2)-ROW(AO$2))))</f>
        <v>Unit 3 - Introducing Live Sound</v>
      </c>
      <c r="AS2" s="14" t="s">
        <v>120</v>
      </c>
      <c r="AT2" s="50">
        <f>IF(COUNTIF(Certificate!$G$17:$G$19,AS2)&gt;=1,"",ROW())</f>
        <v>2</v>
      </c>
      <c r="AU2" s="49" t="str">
        <f t="shared" ref="AU2:AU7" si="7">IF(ROW(AS2)-ROW(AS$2)+1&gt;COUNT(AT$2:AT$6),"",INDEX(AS:AS,SMALL(AT$2:AT$6,1+ROW(AS2)-ROW(AS$2))))</f>
        <v>Unit 3 - Acting Skills</v>
      </c>
      <c r="AW2" s="14" t="s">
        <v>254</v>
      </c>
      <c r="AX2" s="50">
        <f>IF(COUNTIF(Certificate!$G$23:$G$25,AW2)&gt;=1,"",ROW())</f>
        <v>2</v>
      </c>
      <c r="AY2" s="49" t="str">
        <f t="shared" ref="AY2:AY22" si="8">IF(ROW(AW2)-ROW(AW$2)+1&gt;COUNT(AX$2:AX$22),"",INDEX(AW:AW,SMALL(AX$2:AX$22,1+ROW(AW2)-ROW(AW$2))))</f>
        <v>Unit 9 - Performance in Context</v>
      </c>
      <c r="BA2" s="14" t="s">
        <v>254</v>
      </c>
      <c r="BB2" s="50">
        <f>IF(COUNTIF(Certificate!$G$23:$G$25,BA2)&gt;=1,"",ROW())</f>
        <v>2</v>
      </c>
      <c r="BC2" s="49" t="str">
        <f t="shared" ref="BC2:BC22" si="9">IF(ROW(BA2)-ROW(BA$2)+1&gt;COUNT(BB$2:BB$22),"",INDEX(BA:BA,SMALL(BB$2:BB$22,1+ROW(BA2)-ROW(BA$2))))</f>
        <v>Unit 9 - Performance in Context</v>
      </c>
      <c r="BE2" s="14" t="s">
        <v>254</v>
      </c>
      <c r="BF2" s="50">
        <f>IF(COUNTIF(Certificate!$G$17:$G$21,BE2)&gt;=1,"",ROW())</f>
        <v>2</v>
      </c>
      <c r="BG2" s="49" t="str">
        <f>IF(ROW(BE2)-ROW(BE$2)+1&gt;COUNT(BF$2:BF$6),"",INDEX(BE:BE,SMALL(BF$2:BF$6,1+ROW(BE2)-ROW(BE$2))))</f>
        <v>Unit 9 - Performance in Context</v>
      </c>
      <c r="BI2" s="14" t="s">
        <v>255</v>
      </c>
      <c r="BJ2" s="50">
        <f>IF(COUNTIF(Certificate!$G$23:$G$25,BI2)&gt;=1,"",ROW())</f>
        <v>2</v>
      </c>
      <c r="BK2" s="47" t="str">
        <f t="shared" ref="BK2:BK13" si="10">IF(ROW(BI2)-ROW(BI$2)+1&gt;COUNT(BJ$2:BJ$13),"",INDEX(BI:BI,SMALL(BJ$2:BJ$13,1+ROW(BI2)-ROW(BI$2))))</f>
        <v>Unit 16 - Contemporary Dance Techniques</v>
      </c>
      <c r="BM2" s="51" t="s">
        <v>256</v>
      </c>
      <c r="BN2" s="50">
        <f>IF(COUNTIF(Certificate!$G$23:$G$23,BM2)&gt;=1,"",ROW())</f>
        <v>2</v>
      </c>
      <c r="BO2" s="51" t="s">
        <v>256</v>
      </c>
      <c r="BQ2" s="14" t="s">
        <v>254</v>
      </c>
      <c r="BR2" s="50">
        <f>IF(COUNTIF(Certificate!$G$17:$G$19,BQ2)&gt;=1,"",ROW())</f>
        <v>2</v>
      </c>
      <c r="BS2" s="49" t="str">
        <f t="shared" ref="BS2:BS7" si="11">IF(ROW(BQ2)-ROW(BQ$2)+1&gt;COUNT(BR$2:BR$7),"",INDEX(BQ:BQ,SMALL(BR$2:BR$7,1+ROW(BQ2)-ROW(BQ$2))))</f>
        <v>Unit 9 - Performance in Context</v>
      </c>
      <c r="BU2" s="14" t="s">
        <v>257</v>
      </c>
      <c r="BV2" s="50">
        <f>IF(COUNTIF(Certificate!$G$23:$G$25,BU2)&gt;=1,"",ROW())</f>
        <v>2</v>
      </c>
      <c r="BW2" s="47" t="str">
        <f t="shared" ref="BW2:BW12" si="12">IF(ROW(BU2)-ROW(BU$2)+1&gt;COUNT(BV$2:BV$12),"",INDEX(BU:BU,SMALL(BV$2:BV$12,1+ROW(BU2)-ROW(BU$2))))</f>
        <v>Unit 14 - Voice and Speech for Performers</v>
      </c>
      <c r="BY2" s="14" t="s">
        <v>254</v>
      </c>
      <c r="BZ2" s="50">
        <f>IF(COUNTIF(Certificate!$G$17:$G$19,BY2)&gt;=1,"",ROW())</f>
        <v>2</v>
      </c>
      <c r="CA2" s="49" t="str">
        <f>IF(ROW(BY2)-ROW(BY$2)+1&gt;COUNT(BZ$2:BZ$6),"",INDEX(BY:BY,SMALL(BZ$2:BZ$6,1+ROW(BY2)-ROW(BY$2))))</f>
        <v>Unit 9 - Performance in Context</v>
      </c>
      <c r="CC2" s="14" t="s">
        <v>258</v>
      </c>
      <c r="CD2" s="50">
        <f>IF(COUNTIF(Certificate!$G$23:$G$25,CC2)&gt;=1,"",ROW())</f>
        <v>2</v>
      </c>
      <c r="CE2" s="47" t="str">
        <f t="shared" ref="CE2:CE14" si="13">IF(ROW(CC2)-ROW(CC$2)+1&gt;COUNT(CD$2:CD$14),"",INDEX(CC:CC,SMALL(CD$2:CD$14,1+ROW(CC2)-ROW(CC$2))))</f>
        <v>Unit 15 - Performing Scripted Plays</v>
      </c>
      <c r="CG2" s="14" t="s">
        <v>254</v>
      </c>
      <c r="CH2" s="50">
        <f>IF(COUNTIF(Certificate!$G$17:$G$19,CG2)&gt;=1,"",ROW())</f>
        <v>2</v>
      </c>
      <c r="CI2" s="49" t="str">
        <f t="shared" ref="CI2:CI11" si="14">IF(ROW(CG2)-ROW(CG$2)+1&gt;COUNT(CH$2:CH$11),"",INDEX(CG:CG,SMALL(CH$2:CH$11,1+ROW(CG2)-ROW(CG$2))))</f>
        <v>Unit 9 - Performance in Context</v>
      </c>
      <c r="CK2" s="14" t="s">
        <v>259</v>
      </c>
      <c r="CL2" s="50">
        <f>IF(COUNTIF(Certificate!$G$23:$G$25,CK2)&gt;=1,"",ROW())</f>
        <v>2</v>
      </c>
      <c r="CM2" s="47" t="str">
        <f t="shared" ref="CM2:CM7" si="15">IF(ROW(CK2)-ROW(CK$2)+1&gt;COUNT(CL$2:CL$7),"",INDEX(CK:CK,SMALL(CL$2:CL$7,1+ROW(CK2)-ROW(CK$2))))</f>
        <v>Unit 11 - Devising Performance Work</v>
      </c>
      <c r="CO2" s="14" t="s">
        <v>125</v>
      </c>
      <c r="CP2" s="47">
        <f>IF(COUNTIF(Certificate!$G$17:$G$21,CO2)&gt;=1,"",ROW())</f>
        <v>2</v>
      </c>
      <c r="CQ2" s="49" t="str">
        <f t="shared" ref="CQ2:CQ10" si="16">IF(ROW(CO2)-ROW(CO$2)+1&gt;COUNT(CP$2:CP$10),"",INDEX(CO:CO,SMALL(CP$2:CP$10,1+ROW(CO2)-ROW(CO$2))))</f>
        <v>Unit 3 - The Mind and Sports Performance</v>
      </c>
      <c r="CS2" s="14" t="s">
        <v>260</v>
      </c>
      <c r="CT2" s="47">
        <f>IF(COUNTIF(Certificate!$G$17:$G$21,CS2)&gt;=1,"",ROW())</f>
        <v>2</v>
      </c>
      <c r="CU2" s="49" t="str">
        <f t="shared" ref="CU2:CU7" si="17">IF(ROW(CS2)-ROW(CS$2)+1&gt;COUNT(CT$2:CT$7),"",INDEX(CS:CS,SMALL(CT$2:CT$7,1+ROW(CS2)-ROW(CS$2))))</f>
        <v>Unit 3 - The Development of Travel and Tourism in the UK</v>
      </c>
      <c r="CW2" s="47" t="s">
        <v>43</v>
      </c>
      <c r="CX2" s="47">
        <f>IF(COUNTIF(Certificate!$G$23:$G$25,CW2)&gt;=1,"",ROW())</f>
        <v>2</v>
      </c>
      <c r="CY2" s="49" t="str">
        <f t="shared" ref="CY2:CY8" si="18">IF(ROW(CW2)-ROW(CW$2)+1&gt;COUNT(CX$2:CX$8),"",INDEX(CW:CW,SMALL(CX$2:CX$8,1+ROW(CW2)-ROW(CW$2))))</f>
        <v>Unit 9 - Digital Editing for Moving Image</v>
      </c>
      <c r="DA2" s="47" t="s">
        <v>84</v>
      </c>
      <c r="DB2" s="47">
        <f>IF(COUNTIF(Certificate!$G$17:$G$21,DA2)&gt;=1,"",ROW())</f>
        <v>2</v>
      </c>
      <c r="DC2" s="49" t="str">
        <f>IF(ROW(DA2)-ROW(DA$2)+1&gt;COUNT(DB$2:DB$6),"",INDEX(DA:DA,SMALL(DB$2:DB$6,1+ROW(DA2)-ROW(DA$2))))</f>
        <v>Unit 3 - Communicating Ideas in 2D</v>
      </c>
      <c r="DE2" s="47" t="s">
        <v>84</v>
      </c>
      <c r="DF2" s="47">
        <f>IF(COUNTIF(Certificate!$G$17:$G$21,DE2)&gt;=1,"",ROW())</f>
        <v>2</v>
      </c>
      <c r="DG2" s="49" t="str">
        <f t="shared" ref="DG2:DG7" si="19">IF(ROW(DE2)-ROW(DE$2)+1&gt;COUNT(DF$2:DF$7),"",INDEX(DE:DE,SMALL(DF$2:DF$7,1+ROW(DE2)-ROW(DE$2))))</f>
        <v>Unit 3 - Communicating Ideas in 2D</v>
      </c>
      <c r="DI2" s="47" t="str">
        <f>IF(DI14=1,"","Unit 3 - Communicating Ideas in 2D")</f>
        <v>Unit 3 - Communicating Ideas in 2D</v>
      </c>
      <c r="DJ2" s="47">
        <f>IF(COUNTIF(Certificate!$G$17:$G$21,DI2)&gt;=1,"",ROW())</f>
        <v>2</v>
      </c>
      <c r="DK2" s="49" t="str">
        <f t="shared" ref="DK2:DK8" si="20">IF(ROW(DI2)-ROW(DI$2)+1&gt;COUNT(DJ$2:DJ$8),"",INDEX(DI:DI,SMALL(DJ$2:DJ$8,1+ROW(DI2)-ROW(DI$2))))</f>
        <v>Unit 3 - Communicating Ideas in 2D</v>
      </c>
      <c r="DM2" s="47" t="s">
        <v>261</v>
      </c>
      <c r="DN2" s="47">
        <f>IF(COUNTIF(Certificate!$G$17:$G$21,DM2)&gt;=1,"",ROW())</f>
        <v>2</v>
      </c>
      <c r="DO2" s="49" t="str">
        <f t="shared" ref="DO2:DO8" si="21">IF(ROW(DM2)-ROW(DM$2)+1&gt;COUNT(DN$2:DN$8),"",INDEX(DM:DM,SMALL(DN$2:DN$8,1+ROW(DM2)-ROW(DM$2))))</f>
        <v>Unit 5 - Developing an Art and Design Portfolio</v>
      </c>
      <c r="DQ2" s="47" t="s">
        <v>262</v>
      </c>
      <c r="DR2" s="47">
        <f>IF(COUNTIF(Certificate!$G$17:$G$21,DQ2)&gt;=1,"",ROW())</f>
        <v>2</v>
      </c>
      <c r="DS2" s="49" t="str">
        <f t="shared" ref="DS2:DS7" si="22">IF(ROW(DQ2)-ROW(DQ$2)+1&gt;COUNT(DR$2:DR$7),"",INDEX(DQ:DQ,SMALL(DR$2:DR$7,1+ROW(DQ2)-ROW(DQ$2))))</f>
        <v>Unit 4 - Communicating Ideas in 3D</v>
      </c>
      <c r="DU2" s="47" t="s">
        <v>263</v>
      </c>
      <c r="DV2" s="47">
        <f>IF(COUNTIF(Certificate!$G$17:$G$21,DU2)&gt;=1,"",ROW())</f>
        <v>2</v>
      </c>
      <c r="DW2" s="49" t="s">
        <v>263</v>
      </c>
      <c r="DY2" s="14" t="s">
        <v>117</v>
      </c>
      <c r="DZ2" s="47">
        <f>IF(COUNTIF(Certificate!$G$23:$G$25,DY2)&gt;=1,"",ROW())</f>
        <v>2</v>
      </c>
      <c r="EA2" s="49" t="str">
        <f t="shared" ref="EA2:EA7" si="23">IF(ROW(DY2)-ROW(DY$2)+1&gt;COUNT(DZ$2:DZ$7),"",INDEX(DY:DY,SMALL(DZ$2:DZ$7,1+ROW(DY2)-ROW(DY$2))))</f>
        <v>Unit 6 - Planning, Preparing, Cooking and Finishing Food</v>
      </c>
      <c r="EC2" s="14" t="s">
        <v>362</v>
      </c>
      <c r="ED2" s="47">
        <f>IF(COUNTIF(Certificate!$G$23:$G$25,EC2)&gt;=1,"",ROW())</f>
        <v>2</v>
      </c>
      <c r="EE2" s="49" t="str">
        <f>IF(ROW(EC2)-ROW(EC$2)+1&gt;COUNT(ED$2:ED$6),"",INDEX(EC:EC,SMALL(ED$2:ED$6,1+ROW(EC2)-ROW(EC$2))))</f>
        <v>Unit 11 - Developing Solo Music Performance</v>
      </c>
      <c r="EG2" s="97" t="s">
        <v>171</v>
      </c>
      <c r="EH2" s="47">
        <f>IF(COUNTIF(Certificate!$G$17:$G$21,EG2)&gt;=1,"",ROW())</f>
        <v>2</v>
      </c>
      <c r="EI2" s="49" t="str">
        <f>IF(ROW(EG2)-ROW(EG$2)+1&gt;COUNT(EH$2:EH$10),"",INDEX(EG:EG,SMALL(EH$2:EH$10,1+ROW(EG2)-ROW(EG$2))))</f>
        <v>Unit 3 - Employment in the Public Services</v>
      </c>
    </row>
    <row r="3" spans="1:139" ht="14">
      <c r="A3" s="14" t="str">
        <f>IF(OR(A21=1,A27=1),"","Unit 4 - Communicating Ideas in 3D")</f>
        <v>Unit 4 - Communicating Ideas in 3D</v>
      </c>
      <c r="B3" s="47">
        <f>IF(COUNTIF(Certificate!$G$17:$G$21,A3)&gt;=1,"",ROW())</f>
        <v>3</v>
      </c>
      <c r="C3" s="47" t="str">
        <f t="shared" si="0"/>
        <v>Unit 4 - Communicating Ideas in 3D</v>
      </c>
      <c r="E3" s="14" t="s">
        <v>89</v>
      </c>
      <c r="F3" s="47">
        <f>IF(COUNTIF(Certificate!$G$17:$G$21,E3)&gt;=1,"",ROW())</f>
        <v>3</v>
      </c>
      <c r="G3" s="49" t="str">
        <f t="shared" si="1"/>
        <v>Unit 4 - Principles of Customer Service</v>
      </c>
      <c r="I3" s="23" t="s">
        <v>264</v>
      </c>
      <c r="J3" s="47">
        <f>IF(COUNTIF(Certificate!$G$17:$G$21,I3)&gt;=1,"",ROW())</f>
        <v>3</v>
      </c>
      <c r="K3" s="49" t="str">
        <f>IF(ROW(I3)-ROW(I$2)+1&gt;COUNT(J$2:J$5),"",INDEX(I:I,SMALL(J$2:J$5,1+ROW(I3)-ROW(I$2))))</f>
        <v>Unit 6 - Supporting Children’s Language and Literacy Development</v>
      </c>
      <c r="M3" s="14" t="s">
        <v>133</v>
      </c>
      <c r="N3" s="47">
        <f>IF(COUNTIF(Certificate!$G$17:$G$21,M3)&gt;=1,"",ROW())</f>
        <v>3</v>
      </c>
      <c r="O3" s="49" t="str">
        <f t="shared" si="2"/>
        <v>Unit 5 - Construction Drawing Techniques</v>
      </c>
      <c r="Q3" s="14" t="s">
        <v>21</v>
      </c>
      <c r="R3" s="47">
        <f>IF(COUNTIF(Certificate!$G$17:$G$21,Q3)&gt;=1,"",ROW())</f>
        <v>3</v>
      </c>
      <c r="S3" s="49" t="str">
        <f>IF(ROW(Q3)-ROW(Q$2)+1&gt;COUNT(R$2:R$7),"",INDEX(Q:Q,SMALL(R$2:R$7,1+ROW(Q3)-ROW(Q$2))))</f>
        <v>Unit 4 - Digital Audio Production</v>
      </c>
      <c r="U3" s="14" t="s">
        <v>103</v>
      </c>
      <c r="V3" s="47">
        <f>IF(COUNTIF(Certificate!$G$17:$G$21,U3)&gt;=1,"",ROW())</f>
        <v>3</v>
      </c>
      <c r="W3" s="49" t="str">
        <f t="shared" si="3"/>
        <v>Unit 4 - Engineering Maintenance</v>
      </c>
      <c r="Y3" s="14" t="s">
        <v>265</v>
      </c>
      <c r="Z3" s="47">
        <f>IF(COUNTIF(Certificate!$G$17:$G$21,Y3)&gt;=1,"",ROW())</f>
        <v>3</v>
      </c>
      <c r="AA3" s="49" t="str">
        <f t="shared" si="4"/>
        <v>Unit 5 - Promoting Health and Wellbeing</v>
      </c>
      <c r="AC3" s="14" t="s">
        <v>116</v>
      </c>
      <c r="AD3" s="47">
        <f>IF(COUNTIF(Certificate!$G$17:$G$21,AC3)&gt;=1,"",ROW())</f>
        <v>3</v>
      </c>
      <c r="AE3" s="49" t="str">
        <f>IF(ROW(AC3)-ROW(AC$2)+1&gt;COUNT(AD$2:AD$4),"",INDEX(AC:AC,SMALL(AD$2:AD$4,1+ROW(AC3)-ROW(AC$2))))</f>
        <v>Unit 5 - Enterprise in the Hospitality Industry</v>
      </c>
      <c r="AG3" s="14" t="s">
        <v>266</v>
      </c>
      <c r="AH3" s="47">
        <f>IF(COUNTIF(Certificate!$G$17:$G$21,AG3)&gt;=1,"",ROW())</f>
        <v>3</v>
      </c>
      <c r="AI3" s="49" t="str">
        <f>IF(ROW(AG3)-ROW(AG$2)+1&gt;COUNT(AH$2:AH$3),"",INDEX(AG:AG,SMALL(AH$2:AH$3,1+ROW(AG3)-ROW(AG$2))))</f>
        <v>Unit 2 - Technology Systems</v>
      </c>
      <c r="AK3" s="23" t="s">
        <v>140</v>
      </c>
      <c r="AL3" s="47">
        <f>IF(COUNTIF(Certificate!$G$17:$G$21,AK3)&gt;=1,"",ROW())</f>
        <v>3</v>
      </c>
      <c r="AM3" s="49" t="str">
        <f t="shared" si="5"/>
        <v>Unit 5 - Creating Digital Audio</v>
      </c>
      <c r="AO3" s="14" t="s">
        <v>32</v>
      </c>
      <c r="AP3" s="47">
        <f>IF(COUNTIF(Certificate!$G$17:$G$21,AO3)&gt;=1,"",ROW())</f>
        <v>3</v>
      </c>
      <c r="AQ3" s="49" t="str">
        <f t="shared" si="6"/>
        <v>Unit 4 - Introducing Music Composition</v>
      </c>
      <c r="AS3" s="14" t="s">
        <v>121</v>
      </c>
      <c r="AT3" s="50">
        <f>IF(COUNTIF(Certificate!$G$17:$G$19,AS3)&gt;=1,"",ROW())</f>
        <v>3</v>
      </c>
      <c r="AU3" s="49" t="str">
        <f t="shared" si="7"/>
        <v>Unit 4 - Dance Skills</v>
      </c>
      <c r="AW3" s="14" t="s">
        <v>267</v>
      </c>
      <c r="AX3" s="50">
        <f>IF(COUNTIF(Certificate!$G$23:$G$25,AW3)&gt;=1,"",ROW())</f>
        <v>3</v>
      </c>
      <c r="AY3" s="49" t="str">
        <f t="shared" si="8"/>
        <v>Unit 10 - Movement Skills</v>
      </c>
      <c r="BA3" s="14" t="s">
        <v>267</v>
      </c>
      <c r="BB3" s="50">
        <f>IF(COUNTIF(Certificate!$G$23:$G$25,BA3)&gt;=1,"",ROW())</f>
        <v>3</v>
      </c>
      <c r="BC3" s="49" t="str">
        <f t="shared" si="9"/>
        <v>Unit 10 - Movement Skills</v>
      </c>
      <c r="BE3" s="14" t="s">
        <v>267</v>
      </c>
      <c r="BF3" s="50">
        <f>IF(COUNTIF(Certificate!$G$17:$G$21,BE3)&gt;=1,"",ROW())</f>
        <v>3</v>
      </c>
      <c r="BG3" s="49" t="str">
        <f>IF(ROW(BE3)-ROW(BE$2)+1&gt;COUNT(BF$2:BF$6),"",INDEX(BE:BE,SMALL(BF$2:BF$6,1+ROW(BE3)-ROW(BE$2))))</f>
        <v>Unit 10 - Movement Skills</v>
      </c>
      <c r="BI3" s="14" t="s">
        <v>268</v>
      </c>
      <c r="BJ3" s="50">
        <f>IF(COUNTIF(Certificate!$G$23:$G$25,BI3)&gt;=1,"",ROW())</f>
        <v>3</v>
      </c>
      <c r="BK3" s="47" t="str">
        <f t="shared" si="10"/>
        <v>Unit 17 - Exploring Urban Dance Styles</v>
      </c>
      <c r="BM3" s="51"/>
      <c r="BN3" s="50"/>
      <c r="BO3" s="51"/>
      <c r="BQ3" s="14" t="s">
        <v>267</v>
      </c>
      <c r="BR3" s="50">
        <f>IF(COUNTIF(Certificate!$G$17:$G$19,BQ3)&gt;=1,"",ROW())</f>
        <v>3</v>
      </c>
      <c r="BS3" s="49" t="str">
        <f t="shared" si="11"/>
        <v>Unit 10 - Movement Skills</v>
      </c>
      <c r="BU3" s="14" t="s">
        <v>258</v>
      </c>
      <c r="BV3" s="50">
        <f>IF(COUNTIF(Certificate!$G$23:$G$25,BU3)&gt;=1,"",ROW())</f>
        <v>3</v>
      </c>
      <c r="BW3" s="47" t="str">
        <f t="shared" si="12"/>
        <v>Unit 15 - Performing Scripted Plays</v>
      </c>
      <c r="BY3" s="14" t="s">
        <v>267</v>
      </c>
      <c r="BZ3" s="50">
        <f>IF(COUNTIF(Certificate!$G$17:$G$19,BY3)&gt;=1,"",ROW())</f>
        <v>3</v>
      </c>
      <c r="CA3" s="49" t="str">
        <f>IF(ROW(BY3)-ROW(BY$2)+1&gt;COUNT(BZ$2:BZ$6),"",INDEX(BE:BE,SMALL(BZ$2:BZ$6,1+ROW(BY3)-ROW(BY$2))))</f>
        <v>Unit 10 - Movement Skills</v>
      </c>
      <c r="CC3" s="14" t="s">
        <v>255</v>
      </c>
      <c r="CD3" s="50">
        <f>IF(COUNTIF(Certificate!$G$23:$G$25,CC3)&gt;=1,"",ROW())</f>
        <v>3</v>
      </c>
      <c r="CE3" s="47" t="str">
        <f t="shared" si="13"/>
        <v>Unit 16 - Contemporary Dance Techniques</v>
      </c>
      <c r="CG3" s="14" t="s">
        <v>269</v>
      </c>
      <c r="CH3" s="50">
        <f>IF(COUNTIF(Certificate!$G$17:$G$19,CG3)&gt;=1,"",ROW())</f>
        <v>3</v>
      </c>
      <c r="CI3" s="49" t="str">
        <f t="shared" si="14"/>
        <v>Unit 19 - Design Planning for Performance</v>
      </c>
      <c r="CK3" s="14" t="s">
        <v>257</v>
      </c>
      <c r="CL3" s="50">
        <f>IF(COUNTIF(Certificate!$G$23:$G$25,CK3)&gt;=1,"",ROW())</f>
        <v>3</v>
      </c>
      <c r="CM3" s="47" t="str">
        <f t="shared" si="15"/>
        <v>Unit 14 - Voice and Speech for Performers</v>
      </c>
      <c r="CO3" s="14" t="s">
        <v>126</v>
      </c>
      <c r="CP3" s="47">
        <f>IF(COUNTIF(Certificate!$G$17:$G$21,CO3)&gt;=1,"",ROW())</f>
        <v>3</v>
      </c>
      <c r="CQ3" s="49" t="str">
        <f t="shared" si="16"/>
        <v>Unit 4 - The Sports Performer in Action</v>
      </c>
      <c r="CS3" s="14" t="s">
        <v>82</v>
      </c>
      <c r="CT3" s="47">
        <f>IF(COUNTIF(Certificate!$G$17:$G$21,CS3)&gt;=1,"",ROW())</f>
        <v>3</v>
      </c>
      <c r="CU3" s="49" t="str">
        <f t="shared" si="17"/>
        <v>Unit 5 - Factors Affecting Worldwide Travel and Tourism</v>
      </c>
      <c r="CW3" s="47" t="s">
        <v>44</v>
      </c>
      <c r="CX3" s="47">
        <f>IF(COUNTIF(Certificate!$G$23:$G$25,CW3)&gt;=1,"",ROW())</f>
        <v>3</v>
      </c>
      <c r="CY3" s="49" t="str">
        <f t="shared" si="18"/>
        <v>Unit 10 - Digital Photography for a Media Product</v>
      </c>
      <c r="DA3" s="47" t="s">
        <v>261</v>
      </c>
      <c r="DB3" s="47">
        <f>IF(COUNTIF(Certificate!$G$17:$G$21,DA3)&gt;=1,"",ROW())</f>
        <v>3</v>
      </c>
      <c r="DC3" s="49" t="str">
        <f>IF(ROW(DA3)-ROW(DA$2)+1&gt;COUNT(DB$2:DB$6),"",INDEX(DA:DA,SMALL(DB$2:DB$6,1+ROW(DA3)-ROW(DA$2))))</f>
        <v>Unit 5 - Developing an Art and Design Portfolio</v>
      </c>
      <c r="DE3" s="47" t="s">
        <v>262</v>
      </c>
      <c r="DF3" s="47">
        <f>IF(COUNTIF(Certificate!$G$17:$G$21,DE3)&gt;=1,"",ROW())</f>
        <v>3</v>
      </c>
      <c r="DG3" s="49" t="str">
        <f t="shared" si="19"/>
        <v>Unit 4 - Communicating Ideas in 3D</v>
      </c>
      <c r="DI3" s="47" t="s">
        <v>262</v>
      </c>
      <c r="DJ3" s="47">
        <f>IF(COUNTIF(Certificate!$G$17:$G$21,DI3)&gt;=1,"",ROW())</f>
        <v>3</v>
      </c>
      <c r="DK3" s="49" t="str">
        <f t="shared" si="20"/>
        <v>Unit 4 - Communicating Ideas in 3D</v>
      </c>
      <c r="DM3" s="47" t="s">
        <v>270</v>
      </c>
      <c r="DN3" s="47">
        <f>IF(COUNTIF(Certificate!$G$17:$G$21,DM3)&gt;=1,"",ROW())</f>
        <v>3</v>
      </c>
      <c r="DO3" s="49" t="str">
        <f t="shared" si="21"/>
        <v>Unit 8 - Using Mobile Devices in Art and Design</v>
      </c>
      <c r="DQ3" s="47" t="s">
        <v>261</v>
      </c>
      <c r="DR3" s="47">
        <f>IF(COUNTIF(Certificate!$G$17:$G$21,DQ3)&gt;=1,"",ROW())</f>
        <v>3</v>
      </c>
      <c r="DS3" s="49" t="str">
        <f t="shared" si="22"/>
        <v>Unit 5 - Developing an Art and Design Portfolio</v>
      </c>
      <c r="DW3" s="49"/>
      <c r="DY3" s="14" t="s">
        <v>118</v>
      </c>
      <c r="DZ3" s="47">
        <f>IF(COUNTIF(Certificate!$G$23:$G$25,DY3)&gt;=1,"",ROW())</f>
        <v>3</v>
      </c>
      <c r="EA3" s="49" t="str">
        <f t="shared" si="23"/>
        <v>Unit 7 - Food and Beverage Service in the Hospitality Industry</v>
      </c>
      <c r="EC3" s="14" t="s">
        <v>39</v>
      </c>
      <c r="ED3" s="47">
        <f>IF(COUNTIF(Certificate!$G$23:$G$25,EC3)&gt;=1,"",ROW())</f>
        <v>3</v>
      </c>
      <c r="EE3" s="49" t="str">
        <f>IF(ROW(EC3)-ROW(EC$2)+1&gt;COUNT(ED$2:ED$6),"",INDEX(EC:EC,SMALL(ED$2:ED$6,1+ROW(EC3)-ROW(EC$2))))</f>
        <v>Unit 12 - The Development of Music</v>
      </c>
      <c r="EG3" s="97" t="s">
        <v>460</v>
      </c>
      <c r="EH3" s="47">
        <f>IF(COUNTIF(Certificate!$G$17:$G$21,EG3)&gt;=1,"",ROW())</f>
        <v>3</v>
      </c>
      <c r="EI3" s="49" t="str">
        <f t="shared" ref="EI3:EI9" si="24">IF(ROW(EG3)-ROW(EG$2)+1&gt;COUNT(EH$2:EH$10),"",INDEX(EG:EG,SMALL(EH$2:EH$10,1+ROW(EG3)-ROW(EG$2))))</f>
        <v>Unit 4 - Public Services and Community Protection</v>
      </c>
    </row>
    <row r="4" spans="1:139" ht="14">
      <c r="A4" s="14" t="s">
        <v>261</v>
      </c>
      <c r="B4" s="47">
        <f>IF(COUNTIF(Certificate!$G$17:$G$21,A4)&gt;=1,"",ROW())</f>
        <v>4</v>
      </c>
      <c r="C4" s="47" t="str">
        <f t="shared" si="0"/>
        <v>Unit 5 - Developing an Art and Design Portfolio</v>
      </c>
      <c r="E4" s="14" t="s">
        <v>271</v>
      </c>
      <c r="F4" s="47">
        <f>IF(COUNTIF(Certificate!$G$17:$G$21,E4)&gt;=1,"",ROW())</f>
        <v>4</v>
      </c>
      <c r="G4" s="49" t="str">
        <f t="shared" si="1"/>
        <v>Unit 5 - Sales and Personal Selling</v>
      </c>
      <c r="I4" s="23" t="s">
        <v>272</v>
      </c>
      <c r="J4" s="47">
        <f>IF(COUNTIF(Certificate!$G$17:$G$21,I4)&gt;=1,"",ROW())</f>
        <v>4</v>
      </c>
      <c r="K4" s="49" t="str">
        <f>IF(ROW(I4)-ROW(I$2)+1&gt;COUNT(J$2:J$5),"",INDEX(I:I,SMALL(J$2:J$5,1+ROW(I4)-ROW(I$2))))</f>
        <v>Unit 7 - Making Healthy Food Choices for Children</v>
      </c>
      <c r="M4" s="14" t="s">
        <v>97</v>
      </c>
      <c r="N4" s="47">
        <f>IF(COUNTIF(Certificate!$G$17:$G$21,M4)&gt;=1,"",ROW())</f>
        <v>4</v>
      </c>
      <c r="O4" s="49" t="str">
        <f t="shared" si="2"/>
        <v>Unit 6 - Exploring Carpentry and Joinery Principles and Techniques</v>
      </c>
      <c r="Q4" s="14" t="s">
        <v>22</v>
      </c>
      <c r="R4" s="47">
        <f>IF(COUNTIF(Certificate!$G$17:$G$21,Q4)&gt;=1,"",ROW())</f>
        <v>4</v>
      </c>
      <c r="S4" s="49" t="str">
        <f>IF(ROW(Q4)-ROW(Q$2)+1&gt;COUNT(R$2:R$7),"",INDEX(Q:Q,SMALL(R$2:R$7,1+ROW(Q4)-ROW(Q$2))))</f>
        <v>Unit 5 - Digital Publishing Production</v>
      </c>
      <c r="U4" s="14" t="s">
        <v>104</v>
      </c>
      <c r="V4" s="47">
        <f>IF(COUNTIF(Certificate!$G$17:$G$21,U4)&gt;=1,"",ROW())</f>
        <v>4</v>
      </c>
      <c r="W4" s="49" t="str">
        <f t="shared" si="3"/>
        <v>Unit 5 - Engineering Materials</v>
      </c>
      <c r="Y4" s="14" t="s">
        <v>273</v>
      </c>
      <c r="Z4" s="47">
        <f>IF(COUNTIF(Certificate!$G$17:$G$21,Y4)&gt;=1,"",ROW())</f>
        <v>4</v>
      </c>
      <c r="AA4" s="49" t="str">
        <f t="shared" si="4"/>
        <v>Unit 6 - The Impact of Nutrition on Health and Wellbeing</v>
      </c>
      <c r="AC4" s="23" t="s">
        <v>274</v>
      </c>
      <c r="AD4" s="47">
        <f>IF(COUNTIF(Certificate!$G$17:$G$21,AC4)&gt;=1,"",ROW())</f>
        <v>4</v>
      </c>
      <c r="AE4" s="49" t="str">
        <f>IF(ROW(AC4)-ROW(AC$2)+1&gt;COUNT(AD$2:AD$4),"",INDEX(AC:AC,SMALL(AD$2:AD$4,1+ROW(AC4)-ROW(AC$2))))</f>
        <v>Unit 10 - Marketing and Promotion in Hospitality</v>
      </c>
      <c r="AH4" s="50"/>
      <c r="AI4" s="49"/>
      <c r="AK4" s="23" t="s">
        <v>141</v>
      </c>
      <c r="AL4" s="47">
        <f>IF(COUNTIF(Certificate!$G$17:$G$21,AK4)&gt;=1,"",ROW())</f>
        <v>4</v>
      </c>
      <c r="AM4" s="49" t="str">
        <f t="shared" si="5"/>
        <v>Unit 6 - Creating Digital Graphics</v>
      </c>
      <c r="AO4" s="14" t="s">
        <v>33</v>
      </c>
      <c r="AP4" s="47">
        <f>IF(COUNTIF(Certificate!$G$17:$G$21,AO4)&gt;=1,"",ROW())</f>
        <v>4</v>
      </c>
      <c r="AQ4" s="49" t="str">
        <f t="shared" si="6"/>
        <v>Unit 5 - Introducing Music Performance</v>
      </c>
      <c r="AS4" s="14" t="s">
        <v>275</v>
      </c>
      <c r="AT4" s="50">
        <f>IF(COUNTIF(Certificate!$G$17:$G$19,AS4)&gt;=1,"",ROW())</f>
        <v>4</v>
      </c>
      <c r="AU4" s="49" t="str">
        <f t="shared" si="7"/>
        <v>Unit 5 - Musical Theatre Skills</v>
      </c>
      <c r="AW4" s="14" t="s">
        <v>259</v>
      </c>
      <c r="AX4" s="50">
        <f>IF(COUNTIF(Certificate!$G$23:$G$25,AW4)&gt;=1,"",ROW())</f>
        <v>4</v>
      </c>
      <c r="AY4" s="49" t="str">
        <f t="shared" si="8"/>
        <v>Unit 11 - Devising Performance Work</v>
      </c>
      <c r="BA4" s="14" t="s">
        <v>259</v>
      </c>
      <c r="BB4" s="50">
        <f>IF(COUNTIF(Certificate!$G$23:$G$25,BA4)&gt;=1,"",ROW())</f>
        <v>4</v>
      </c>
      <c r="BC4" s="49" t="str">
        <f t="shared" si="9"/>
        <v>Unit 11 - Devising Performance Work</v>
      </c>
      <c r="BE4" s="14" t="s">
        <v>259</v>
      </c>
      <c r="BF4" s="50">
        <f>IF(COUNTIF(Certificate!$G$17:$G$21,BE4)&gt;=1,"",ROW())</f>
        <v>4</v>
      </c>
      <c r="BG4" s="49" t="str">
        <f>IF(ROW(BE4)-ROW(BE$2)+1&gt;COUNT(BF$2:BF$6),"",INDEX(BE:BE,SMALL(BF$2:BF$6,1+ROW(BE4)-ROW(BE$2))))</f>
        <v>Unit 11 - Devising Performance Work</v>
      </c>
      <c r="BI4" s="14" t="s">
        <v>276</v>
      </c>
      <c r="BJ4" s="50">
        <f>IF(COUNTIF(Certificate!$G$23:$G$25,BI4)&gt;=1,"",ROW())</f>
        <v>4</v>
      </c>
      <c r="BK4" s="47" t="str">
        <f t="shared" si="10"/>
        <v>Unit 18 - Jazz Dance Techniques</v>
      </c>
      <c r="BM4" s="51"/>
      <c r="BN4" s="50"/>
      <c r="BO4" s="51"/>
      <c r="BQ4" s="14" t="s">
        <v>259</v>
      </c>
      <c r="BR4" s="50">
        <f>IF(COUNTIF(Certificate!$G$17:$G$19,BQ4)&gt;=1,"",ROW())</f>
        <v>4</v>
      </c>
      <c r="BS4" s="49" t="str">
        <f t="shared" si="11"/>
        <v>Unit 11 - Devising Performance Work</v>
      </c>
      <c r="BU4" s="14" t="s">
        <v>269</v>
      </c>
      <c r="BV4" s="50">
        <f>IF(COUNTIF(Certificate!$G$23:$G$25,BU4)&gt;=1,"",ROW())</f>
        <v>4</v>
      </c>
      <c r="BW4" s="47" t="str">
        <f t="shared" si="12"/>
        <v>Unit 19 - Design Planning for Performance</v>
      </c>
      <c r="BY4" s="14" t="s">
        <v>259</v>
      </c>
      <c r="BZ4" s="50">
        <f>IF(COUNTIF(Certificate!$G$17:$G$19,BY4)&gt;=1,"",ROW())</f>
        <v>4</v>
      </c>
      <c r="CA4" s="49" t="str">
        <f>IF(ROW(BY4)-ROW(BY$2)+1&gt;COUNT(BZ$2:BZ$6),"",INDEX(BE:BE,SMALL(BZ$2:BZ$6,1+ROW(BY4)-ROW(BY$2))))</f>
        <v>Unit 11 - Devising Performance Work</v>
      </c>
      <c r="CC4" s="14" t="s">
        <v>268</v>
      </c>
      <c r="CD4" s="50">
        <f>IF(COUNTIF(Certificate!$G$23:$G$25,CC4)&gt;=1,"",ROW())</f>
        <v>4</v>
      </c>
      <c r="CE4" s="47" t="str">
        <f t="shared" si="13"/>
        <v>Unit 17 - Exploring Urban Dance Styles</v>
      </c>
      <c r="CG4" s="14" t="s">
        <v>277</v>
      </c>
      <c r="CH4" s="50">
        <f>IF(COUNTIF(Certificate!$G$17:$G$19,CG4)&gt;=1,"",ROW())</f>
        <v>4</v>
      </c>
      <c r="CI4" s="49" t="str">
        <f t="shared" si="14"/>
        <v>Unit 20 - Realising Costume Design for Performance</v>
      </c>
      <c r="CK4" s="14" t="s">
        <v>258</v>
      </c>
      <c r="CL4" s="50">
        <f>IF(COUNTIF(Certificate!$G$23:$G$25,CK4)&gt;=1,"",ROW())</f>
        <v>4</v>
      </c>
      <c r="CM4" s="47" t="str">
        <f t="shared" si="15"/>
        <v>Unit 15 - Performing Scripted Plays</v>
      </c>
      <c r="CO4" s="14" t="s">
        <v>127</v>
      </c>
      <c r="CP4" s="47">
        <f>IF(COUNTIF(Certificate!$G$17:$G$21,CO4)&gt;=1,"",ROW())</f>
        <v>4</v>
      </c>
      <c r="CQ4" s="49" t="str">
        <f t="shared" si="16"/>
        <v>Unit 5 - Training for Personal Fitness</v>
      </c>
      <c r="CS4" s="14" t="s">
        <v>278</v>
      </c>
      <c r="CT4" s="47">
        <f>IF(COUNTIF(Certificate!$G$17:$G$21,CS4)&gt;=1,"",ROW())</f>
        <v>4</v>
      </c>
      <c r="CU4" s="49" t="str">
        <f t="shared" si="17"/>
        <v>Unit 6 -The Travel and Tourism Customer Experience</v>
      </c>
      <c r="CW4" s="47" t="s">
        <v>45</v>
      </c>
      <c r="CX4" s="47">
        <f>IF(COUNTIF(Certificate!$G$23:$G$25,CW4)&gt;=1,"",ROW())</f>
        <v>4</v>
      </c>
      <c r="CY4" s="49" t="str">
        <f t="shared" si="18"/>
        <v>Unit 11 - Animation for Digital Media</v>
      </c>
      <c r="DA4" s="47" t="s">
        <v>279</v>
      </c>
      <c r="DB4" s="47">
        <f>IF(COUNTIF(Certificate!$G$17:$G$21,DA4)&gt;=1,"",ROW())</f>
        <v>4</v>
      </c>
      <c r="DC4" s="49" t="str">
        <f>IF(ROW(DA4)-ROW(DA$2)+1&gt;COUNT(DB$2:DB$6),"",INDEX(DA:DA,SMALL(DB$2:DB$6,1+ROW(DA4)-ROW(DA$2))))</f>
        <v>Unit 10 - Fashion Briefs</v>
      </c>
      <c r="DE4" s="47" t="s">
        <v>261</v>
      </c>
      <c r="DF4" s="47">
        <f>IF(COUNTIF(Certificate!$G$17:$G$21,DE4)&gt;=1,"",ROW())</f>
        <v>4</v>
      </c>
      <c r="DG4" s="49" t="str">
        <f t="shared" si="19"/>
        <v>Unit 5 - Developing an Art and Design Portfolio</v>
      </c>
      <c r="DI4" s="47" t="s">
        <v>261</v>
      </c>
      <c r="DJ4" s="47">
        <f>IF(COUNTIF(Certificate!$G$17:$G$21,DI4)&gt;=1,"",ROW())</f>
        <v>4</v>
      </c>
      <c r="DK4" s="49" t="str">
        <f t="shared" si="20"/>
        <v>Unit 5 - Developing an Art and Design Portfolio</v>
      </c>
      <c r="DM4" s="47" t="s">
        <v>280</v>
      </c>
      <c r="DN4" s="47">
        <f>IF(COUNTIF(Certificate!$G$17:$G$21,DM4)&gt;=1,"",ROW())</f>
        <v>4</v>
      </c>
      <c r="DO4" s="49" t="str">
        <f t="shared" si="21"/>
        <v>Unit 9 - Design Crafts Briefs</v>
      </c>
      <c r="DQ4" s="47" t="s">
        <v>270</v>
      </c>
      <c r="DR4" s="47">
        <f>IF(COUNTIF(Certificate!$G$17:$G$21,DQ4)&gt;=1,"",ROW())</f>
        <v>4</v>
      </c>
      <c r="DS4" s="49" t="str">
        <f t="shared" si="22"/>
        <v>Unit 8 - Using Mobile Devices in Art and Design</v>
      </c>
      <c r="DW4" s="49"/>
      <c r="DY4" s="14" t="s">
        <v>119</v>
      </c>
      <c r="DZ4" s="47">
        <f>IF(COUNTIF(Certificate!$G$23:$G$25,DY4)&gt;=1,"",ROW())</f>
        <v>4</v>
      </c>
      <c r="EA4" s="49" t="str">
        <f t="shared" si="23"/>
        <v>Unit 8 - Front Office Services in the Hospitality Industry</v>
      </c>
      <c r="EC4" s="14" t="s">
        <v>363</v>
      </c>
      <c r="ED4" s="47">
        <f>IF(COUNTIF(Certificate!$G$23:$G$25,EC4)&gt;=1,"",ROW())</f>
        <v>4</v>
      </c>
      <c r="EE4" s="49" t="str">
        <f>IF(ROW(EC4)-ROW(EC$2)+1&gt;COUNT(ED$2:ED$6),"",INDEX(EC:EC,SMALL(ED$2:ED$6,1+ROW(EC4)-ROW(EC$2))))</f>
        <v>Unit 13 - Developing Music Composition</v>
      </c>
      <c r="EG4" s="97" t="s">
        <v>173</v>
      </c>
      <c r="EH4" s="47">
        <f>IF(COUNTIF(Certificate!$G$17:$G$21,EG4)&gt;=1,"",ROW())</f>
        <v>4</v>
      </c>
      <c r="EI4" s="49" t="str">
        <f t="shared" si="24"/>
        <v>Unit 5 - Health, Fitness and Lifestyle for the Public Services</v>
      </c>
    </row>
    <row r="5" spans="1:139" ht="14">
      <c r="A5" s="14" t="s">
        <v>270</v>
      </c>
      <c r="B5" s="47">
        <f>IF(COUNTIF(Certificate!$G$17:$G$21,A5)&gt;=1,"",ROW())</f>
        <v>5</v>
      </c>
      <c r="C5" s="47" t="str">
        <f t="shared" si="0"/>
        <v>Unit 8 - Using Mobile Devices in Art and Design</v>
      </c>
      <c r="E5" s="14" t="s">
        <v>91</v>
      </c>
      <c r="F5" s="47">
        <f>IF(COUNTIF(Certificate!$G$17:$G$21,E5)&gt;=1,"",ROW())</f>
        <v>5</v>
      </c>
      <c r="G5" s="49" t="str">
        <f t="shared" si="1"/>
        <v>Unit 6 - Introducing Retail Business</v>
      </c>
      <c r="I5" s="23" t="s">
        <v>281</v>
      </c>
      <c r="J5" s="47">
        <f>IF(COUNTIF(Certificate!$G$17:$G$21,I5)&gt;=1,"",ROW())</f>
        <v>5</v>
      </c>
      <c r="K5" s="49" t="str">
        <f>IF(ROW(I5)-ROW(I$2)+1&gt;COUNT(J$2:J$5),"",INDEX(I:I,SMALL(J$2:J$5,1+ROW(I5)-ROW(I$2))))</f>
        <v>Unit 8 - Introduction to Working in the Early Years Sector</v>
      </c>
      <c r="M5" s="14" t="s">
        <v>98</v>
      </c>
      <c r="N5" s="47">
        <f>IF(COUNTIF(Certificate!$G$17:$G$21,M5)&gt;=1,"",ROW())</f>
        <v>5</v>
      </c>
      <c r="O5" s="49" t="str">
        <f t="shared" si="2"/>
        <v>Unit 7 - Exploring Brickwork and Blockwork Principles and Techniques</v>
      </c>
      <c r="Q5" s="14" t="s">
        <v>282</v>
      </c>
      <c r="R5" s="47">
        <f>IF(COUNTIF(Certificate!$G$17:$G$21,Q5)&gt;=1,"",ROW())</f>
        <v>5</v>
      </c>
      <c r="S5" s="49" t="str">
        <f>IF(ROW(Q5)-ROW(Q$2)+1&gt;COUNT(R$2:R$7),"",INDEX(Q:Q,SMALL(R$2:R$7,1+ROW(Q5)-ROW(Q$2))))</f>
        <v>Unit 6 - Website Production</v>
      </c>
      <c r="U5" s="14" t="s">
        <v>105</v>
      </c>
      <c r="V5" s="47">
        <f>IF(COUNTIF(Certificate!$G$17:$G$21,U5)&gt;=1,"",ROW())</f>
        <v>5</v>
      </c>
      <c r="W5" s="49" t="str">
        <f t="shared" si="3"/>
        <v>Unit 6 - Computer-aided Engineering</v>
      </c>
      <c r="Y5" s="14" t="s">
        <v>283</v>
      </c>
      <c r="Z5" s="47">
        <f>IF(COUNTIF(Certificate!$G$17:$G$21,Y5)&gt;=1,"",ROW())</f>
        <v>5</v>
      </c>
      <c r="AA5" s="49" t="str">
        <f t="shared" si="4"/>
        <v>Unit 7 - Equality and Diversity in Health and Social Care</v>
      </c>
      <c r="AC5" s="14"/>
      <c r="AE5" s="49"/>
      <c r="AH5" s="50"/>
      <c r="AI5" s="49"/>
      <c r="AK5" s="23" t="s">
        <v>142</v>
      </c>
      <c r="AL5" s="47">
        <f>IF(COUNTIF(Certificate!$G$17:$G$21,AK5)&gt;=1,"",ROW())</f>
        <v>5</v>
      </c>
      <c r="AM5" s="49" t="str">
        <f t="shared" si="5"/>
        <v>Unit 7 - Creating Digital Video</v>
      </c>
      <c r="AO5" s="14" t="s">
        <v>34</v>
      </c>
      <c r="AP5" s="47">
        <f>IF(COUNTIF(Certificate!$G$17:$G$21,AO5)&gt;=1,"",ROW())</f>
        <v>5</v>
      </c>
      <c r="AQ5" s="49" t="str">
        <f t="shared" si="6"/>
        <v>Unit 6 - Introducing Music Recording</v>
      </c>
      <c r="AS5" s="14" t="s">
        <v>123</v>
      </c>
      <c r="AT5" s="50">
        <f>IF(COUNTIF(Certificate!$G$17:$G$19,AS5)&gt;=1,"",ROW())</f>
        <v>5</v>
      </c>
      <c r="AU5" s="49" t="str">
        <f t="shared" si="7"/>
        <v>Unit 6 - Music Performance Skills</v>
      </c>
      <c r="AW5" s="23" t="s">
        <v>284</v>
      </c>
      <c r="AX5" s="50">
        <f>IF(COUNTIF(Certificate!$G$23:$G$25,AW5)&gt;=1,"",ROW())</f>
        <v>5</v>
      </c>
      <c r="AY5" s="49" t="str">
        <f t="shared" si="8"/>
        <v>Unit 12 - Exploring Improvisation</v>
      </c>
      <c r="BA5" s="23" t="s">
        <v>284</v>
      </c>
      <c r="BB5" s="50">
        <f>IF(COUNTIF(Certificate!$G$23:$G$25,BA5)&gt;=1,"",ROW())</f>
        <v>5</v>
      </c>
      <c r="BC5" s="49" t="str">
        <f t="shared" si="9"/>
        <v>Unit 12 - Exploring Improvisation</v>
      </c>
      <c r="BE5" s="14" t="s">
        <v>257</v>
      </c>
      <c r="BF5" s="50">
        <f>IF(COUNTIF(Certificate!$G$17:$G$21,BE5)&gt;=1,"",ROW())</f>
        <v>5</v>
      </c>
      <c r="BG5" s="49" t="str">
        <f>IF(ROW(BE5)-ROW(BE$2)+1&gt;COUNT(BF$2:BF$6),"",INDEX(BE:BE,SMALL(BF$2:BF$6,1+ROW(BE5)-ROW(BE$2))))</f>
        <v>Unit 14 - Voice and Speech for Performers</v>
      </c>
      <c r="BI5" s="14" t="s">
        <v>269</v>
      </c>
      <c r="BJ5" s="50">
        <f>IF(COUNTIF(Certificate!$G$23:$G$25,BI5)&gt;=1,"",ROW())</f>
        <v>5</v>
      </c>
      <c r="BK5" s="47" t="str">
        <f t="shared" si="10"/>
        <v>Unit 19 - Design Planning for Performance</v>
      </c>
      <c r="BM5" s="51"/>
      <c r="BN5" s="50"/>
      <c r="BO5" s="51"/>
      <c r="BQ5" s="14" t="s">
        <v>255</v>
      </c>
      <c r="BR5" s="50">
        <f>IF(COUNTIF(Certificate!$G$17:$G$19,BQ5)&gt;=1,"",ROW())</f>
        <v>5</v>
      </c>
      <c r="BS5" s="49" t="str">
        <f t="shared" si="11"/>
        <v>Unit 16 - Contemporary Dance Techniques</v>
      </c>
      <c r="BU5" s="14" t="s">
        <v>277</v>
      </c>
      <c r="BV5" s="50">
        <f>IF(COUNTIF(Certificate!$G$23:$G$25,BU5)&gt;=1,"",ROW())</f>
        <v>5</v>
      </c>
      <c r="BW5" s="47" t="str">
        <f t="shared" si="12"/>
        <v>Unit 20 - Realising Costume Design for Performance</v>
      </c>
      <c r="BY5" s="14" t="s">
        <v>257</v>
      </c>
      <c r="BZ5" s="50">
        <f>IF(COUNTIF(Certificate!$G$17:$G$19,BY5)&gt;=1,"",ROW())</f>
        <v>5</v>
      </c>
      <c r="CA5" s="49" t="str">
        <f>IF(ROW(BY5)-ROW(BY$2)+1&gt;COUNT(BZ$2:BZ$6),"",INDEX(BE:BE,SMALL(BZ$2:BZ$6,1+ROW(BY5)-ROW(BY$2))))</f>
        <v>Unit 14 - Voice and Speech for Performers</v>
      </c>
      <c r="CC5" s="14" t="s">
        <v>276</v>
      </c>
      <c r="CD5" s="50">
        <f>IF(COUNTIF(Certificate!$G$23:$G$25,CC5)&gt;=1,"",ROW())</f>
        <v>5</v>
      </c>
      <c r="CE5" s="47" t="str">
        <f t="shared" si="13"/>
        <v>Unit 18 - Jazz Dance Techniques</v>
      </c>
      <c r="CG5" s="14" t="s">
        <v>285</v>
      </c>
      <c r="CH5" s="50">
        <f>IF(COUNTIF(Certificate!$G$17:$G$19,CG5)&gt;=1,"",ROW())</f>
        <v>5</v>
      </c>
      <c r="CI5" s="49" t="str">
        <f t="shared" si="14"/>
        <v>Unit 21 - Realising Set Design for Performance</v>
      </c>
      <c r="CK5" s="14" t="s">
        <v>255</v>
      </c>
      <c r="CL5" s="50">
        <f>IF(COUNTIF(Certificate!$G$23:$G$25,CK5)&gt;=1,"",ROW())</f>
        <v>5</v>
      </c>
      <c r="CM5" s="47" t="str">
        <f t="shared" si="15"/>
        <v>Unit 16 - Contemporary Dance Techniques</v>
      </c>
      <c r="CO5" s="14" t="s">
        <v>128</v>
      </c>
      <c r="CP5" s="47">
        <f>IF(COUNTIF(Certificate!$G$17:$G$21,CO5)&gt;=1,"",ROW())</f>
        <v>5</v>
      </c>
      <c r="CQ5" s="49" t="str">
        <f t="shared" si="16"/>
        <v>Unit 6 - Leading Sports Activities</v>
      </c>
      <c r="CS5" s="23" t="s">
        <v>286</v>
      </c>
      <c r="CT5" s="47">
        <f>IF(COUNTIF(Certificate!$G$17:$G$21,CS5)&gt;=1,"",ROW())</f>
        <v>5</v>
      </c>
      <c r="CU5" s="49" t="str">
        <f t="shared" si="17"/>
        <v>Unit 8 - Promotion and Sales in Travel and Tourism</v>
      </c>
      <c r="CW5" s="47" t="s">
        <v>287</v>
      </c>
      <c r="CX5" s="47">
        <f>IF(COUNTIF(Certificate!$G$23:$G$25,CW5)&gt;=1,"",ROW())</f>
        <v>5</v>
      </c>
      <c r="CY5" s="49" t="str">
        <f t="shared" si="18"/>
        <v>Unit 12 - Digital Audio Editing</v>
      </c>
      <c r="DA5" s="47" t="s">
        <v>288</v>
      </c>
      <c r="DB5" s="47">
        <f>IF(COUNTIF(Certificate!$G$17:$G$21,DA5)&gt;=1,"",ROW())</f>
        <v>5</v>
      </c>
      <c r="DC5" s="49" t="str">
        <f>IF(ROW(DA5)-ROW(DA$2)+1&gt;COUNT(DB$2:DB$6),"",INDEX(DA:DA,SMALL(DB$2:DB$6,1+ROW(DA5)-ROW(DA$2))))</f>
        <v>Unit 12 - Textiles Briefs</v>
      </c>
      <c r="DE5" s="47" t="s">
        <v>270</v>
      </c>
      <c r="DF5" s="47">
        <f>IF(COUNTIF(Certificate!$G$17:$G$21,DE5)&gt;=1,"",ROW())</f>
        <v>5</v>
      </c>
      <c r="DG5" s="49" t="str">
        <f t="shared" si="19"/>
        <v>Unit 8 - Using Mobile Devices in Art and Design</v>
      </c>
      <c r="DI5" s="47" t="s">
        <v>270</v>
      </c>
      <c r="DJ5" s="47">
        <f>IF(COUNTIF(Certificate!$G$17:$G$21,DI5)&gt;=1,"",ROW())</f>
        <v>5</v>
      </c>
      <c r="DK5" s="49" t="str">
        <f t="shared" si="20"/>
        <v>Unit 8 - Using Mobile Devices in Art and Design</v>
      </c>
      <c r="DM5" s="47" t="s">
        <v>279</v>
      </c>
      <c r="DN5" s="47">
        <f>IF(COUNTIF(Certificate!$G$17:$G$21,DM5)&gt;=1,"",ROW())</f>
        <v>5</v>
      </c>
      <c r="DO5" s="49" t="str">
        <f t="shared" si="21"/>
        <v>Unit 10 - Fashion Briefs</v>
      </c>
      <c r="DQ5" s="47" t="s">
        <v>279</v>
      </c>
      <c r="DR5" s="47">
        <f>IF(COUNTIF(Certificate!$G$17:$G$21,DQ5)&gt;=1,"",ROW())</f>
        <v>5</v>
      </c>
      <c r="DS5" s="49" t="str">
        <f t="shared" si="22"/>
        <v>Unit 10 - Fashion Briefs</v>
      </c>
      <c r="DW5" s="49"/>
      <c r="DY5" s="23" t="s">
        <v>289</v>
      </c>
      <c r="DZ5" s="47">
        <f>IF(COUNTIF(Certificate!$G$23:$G$25,DY5)&gt;=1,"",ROW())</f>
        <v>5</v>
      </c>
      <c r="EA5" s="49" t="str">
        <f t="shared" si="23"/>
        <v>Unit 11 - Accommodation Services in the Hospitality Industry</v>
      </c>
      <c r="EC5" s="14" t="s">
        <v>364</v>
      </c>
      <c r="ED5" s="47">
        <f>IF(COUNTIF(Certificate!$G$23:$G$25,EC5)&gt;=1,"",ROW())</f>
        <v>5</v>
      </c>
      <c r="EE5" s="49" t="str">
        <f>IF(ROW(EC5)-ROW(EC$2)+1&gt;COUNT(ED$2:ED$6),"",INDEX(EC:EC,SMALL(ED$2:ED$6,1+ROW(EC5)-ROW(EC$2))))</f>
        <v>Unit 14 - Producing a Music Recording</v>
      </c>
      <c r="EG5" s="97" t="s">
        <v>459</v>
      </c>
      <c r="EH5" s="47">
        <f>IF(COUNTIF(Certificate!$G$17:$G$21,EG5)&gt;=1,"",ROW())</f>
        <v>5</v>
      </c>
      <c r="EI5" s="49" t="str">
        <f t="shared" si="24"/>
        <v>Unit 7 - Crime and its Effects on Society and Individuals</v>
      </c>
    </row>
    <row r="6" spans="1:139" ht="14">
      <c r="A6" s="47" t="str">
        <f>IF(A18=1,"","Unit 9 - Design Crafts Briefs")</f>
        <v>Unit 9 - Design Crafts Briefs</v>
      </c>
      <c r="B6" s="47">
        <f>IF(COUNTIF(Certificate!$G$17:$G$21,A6)&gt;=1,"",ROW())</f>
        <v>6</v>
      </c>
      <c r="C6" s="47" t="str">
        <f t="shared" si="0"/>
        <v>Unit 9 - Design Crafts Briefs</v>
      </c>
      <c r="E6" s="14" t="s">
        <v>344</v>
      </c>
      <c r="F6" s="47">
        <f>IF(COUNTIF(Certificate!$G$17:$G$21,E6)&gt;=1,"",ROW())</f>
        <v>6</v>
      </c>
      <c r="G6" s="49" t="str">
        <f t="shared" si="1"/>
        <v>Unit 7 - Providing Business Support</v>
      </c>
      <c r="J6" s="50"/>
      <c r="K6" s="49"/>
      <c r="M6" s="14" t="s">
        <v>99</v>
      </c>
      <c r="N6" s="47">
        <f>IF(COUNTIF(Certificate!$G$17:$G$21,M6)&gt;=1,"",ROW())</f>
        <v>6</v>
      </c>
      <c r="O6" s="49" t="str">
        <f t="shared" si="2"/>
        <v>Unit 8 - Exploring Painting and Decorating Principles and Techniques</v>
      </c>
      <c r="Q6" s="14" t="s">
        <v>24</v>
      </c>
      <c r="R6" s="47">
        <f>IF(COUNTIF(Certificate!$G$17:$G$21,Q6)&gt;=1,"",ROW())</f>
        <v>6</v>
      </c>
      <c r="S6" s="49" t="str">
        <f>IF(ROW(Q6)-ROW(Q$2)+1&gt;COUNT(R$2:R$6),"",INDEX(Q:Q,SMALL(R$2:R$6,1+ROW(Q6)-ROW(Q$2))))</f>
        <v>Unit 7 - Digital Games Production</v>
      </c>
      <c r="U6" s="14" t="s">
        <v>106</v>
      </c>
      <c r="V6" s="47">
        <f>IF(COUNTIF(Certificate!$G$17:$G$21,U6)&gt;=1,"",ROW())</f>
        <v>6</v>
      </c>
      <c r="W6" s="49" t="str">
        <f t="shared" si="3"/>
        <v>Unit 7 - Machining Techniques</v>
      </c>
      <c r="Y6" s="14" t="s">
        <v>113</v>
      </c>
      <c r="Z6" s="47">
        <f>IF(COUNTIF(Certificate!$G$17:$G$21,Y6)&gt;=1,"",ROW())</f>
        <v>6</v>
      </c>
      <c r="AA6" s="49" t="str">
        <f t="shared" si="4"/>
        <v>Unit 8 - Individual Rights in Health and Social Care</v>
      </c>
      <c r="AC6" s="14"/>
      <c r="AE6" s="49"/>
      <c r="AH6" s="50"/>
      <c r="AI6" s="49"/>
      <c r="AK6" s="23" t="s">
        <v>290</v>
      </c>
      <c r="AL6" s="47">
        <f>IF(COUNTIF(Certificate!$G$17:$G$21,AK6)&gt;=1,"",ROW())</f>
        <v>6</v>
      </c>
      <c r="AM6" s="49" t="str">
        <f t="shared" si="5"/>
        <v>Unit 8 - Mobile Apps Development</v>
      </c>
      <c r="AO6" s="14" t="s">
        <v>35</v>
      </c>
      <c r="AP6" s="47">
        <f>IF(COUNTIF(Certificate!$G$17:$G$21,AO6)&gt;=1,"",ROW())</f>
        <v>6</v>
      </c>
      <c r="AQ6" s="49" t="str">
        <f t="shared" si="6"/>
        <v>Unit 7 - Introducing Music Sequencing</v>
      </c>
      <c r="AS6" s="14" t="s">
        <v>124</v>
      </c>
      <c r="AT6" s="50">
        <f>IF(COUNTIF(Certificate!$G$17:$G$19,AS6)&gt;=1,"",ROW())</f>
        <v>6</v>
      </c>
      <c r="AU6" s="49" t="str">
        <f t="shared" si="7"/>
        <v>Unit 7 - Production Skills for Performance</v>
      </c>
      <c r="AW6" s="23" t="s">
        <v>291</v>
      </c>
      <c r="AX6" s="50">
        <f>IF(COUNTIF(Certificate!$G$23:$G$25,AW6)&gt;=1,"",ROW())</f>
        <v>6</v>
      </c>
      <c r="AY6" s="49" t="str">
        <f t="shared" si="8"/>
        <v>Unit 13 - Multimedia Performance</v>
      </c>
      <c r="BA6" s="23" t="s">
        <v>291</v>
      </c>
      <c r="BB6" s="50">
        <f>IF(COUNTIF(Certificate!$G$23:$G$25,BA6)&gt;=1,"",ROW())</f>
        <v>6</v>
      </c>
      <c r="BC6" s="49" t="str">
        <f t="shared" si="9"/>
        <v>Unit 13 - Multimedia Performance</v>
      </c>
      <c r="BE6" s="14" t="s">
        <v>258</v>
      </c>
      <c r="BF6" s="50">
        <f>IF(COUNTIF(Certificate!$G$17:$G$21,BE6)&gt;=1,"",ROW())</f>
        <v>6</v>
      </c>
      <c r="BG6" s="49" t="str">
        <f>IF(ROW(BE6)-ROW(BE$2)+1&gt;COUNT(BF$2:BF$6),"",INDEX(BE:BE,SMALL(BF$2:BF$6,1+ROW(BE6)-ROW(BE$2))))</f>
        <v>Unit 15 - Performing Scripted Plays</v>
      </c>
      <c r="BI6" s="14" t="s">
        <v>277</v>
      </c>
      <c r="BJ6" s="50">
        <f>IF(COUNTIF(Certificate!$G$23:$G$25,BI6)&gt;=1,"",ROW())</f>
        <v>6</v>
      </c>
      <c r="BK6" s="47" t="str">
        <f t="shared" si="10"/>
        <v>Unit 20 - Realising Costume Design for Performance</v>
      </c>
      <c r="BM6" s="51"/>
      <c r="BN6" s="50"/>
      <c r="BO6" s="51"/>
      <c r="BQ6" s="14" t="s">
        <v>268</v>
      </c>
      <c r="BR6" s="50">
        <f>IF(COUNTIF(Certificate!$G$17:$G$19,BQ6)&gt;=1,"",ROW())</f>
        <v>6</v>
      </c>
      <c r="BS6" s="49" t="str">
        <f t="shared" si="11"/>
        <v>Unit 17 - Exploring Urban Dance Styles</v>
      </c>
      <c r="BU6" s="14" t="s">
        <v>285</v>
      </c>
      <c r="BV6" s="50">
        <f>IF(COUNTIF(Certificate!$G$23:$G$25,BU6)&gt;=1,"",ROW())</f>
        <v>6</v>
      </c>
      <c r="BW6" s="47" t="str">
        <f t="shared" si="12"/>
        <v>Unit 21 - Realising Set Design for Performance</v>
      </c>
      <c r="BY6" s="14"/>
      <c r="BZ6" s="50"/>
      <c r="CA6" s="49"/>
      <c r="CC6" s="14" t="s">
        <v>269</v>
      </c>
      <c r="CD6" s="50">
        <f>IF(COUNTIF(Certificate!$G$23:$G$25,CC6)&gt;=1,"",ROW())</f>
        <v>6</v>
      </c>
      <c r="CE6" s="47" t="str">
        <f t="shared" si="13"/>
        <v>Unit 19 - Design Planning for Performance</v>
      </c>
      <c r="CG6" s="14" t="s">
        <v>292</v>
      </c>
      <c r="CH6" s="50">
        <f>IF(COUNTIF(Certificate!$G$17:$G$19,CG6)&gt;=1,"",ROW())</f>
        <v>6</v>
      </c>
      <c r="CI6" s="49" t="str">
        <f t="shared" si="14"/>
        <v>Unit 22 - Realising Prop Design for Performance</v>
      </c>
      <c r="CK6" s="14" t="s">
        <v>268</v>
      </c>
      <c r="CL6" s="50">
        <f>IF(COUNTIF(Certificate!$G$23:$G$25,CK6)&gt;=1,"",ROW())</f>
        <v>6</v>
      </c>
      <c r="CM6" s="47" t="str">
        <f t="shared" si="15"/>
        <v>Unit 17 - Exploring Urban Dance Styles</v>
      </c>
      <c r="CO6" s="23" t="s">
        <v>293</v>
      </c>
      <c r="CP6" s="47">
        <f>IF(COUNTIF(Certificate!$G$17:$G$21,CO6)&gt;=1,"",ROW())</f>
        <v>6</v>
      </c>
      <c r="CQ6" s="49" t="str">
        <f t="shared" si="16"/>
        <v>Unit 8 - Promotion and Sponsorship in Sport</v>
      </c>
      <c r="CS6" s="23" t="s">
        <v>294</v>
      </c>
      <c r="CT6" s="47">
        <f>IF(COUNTIF(Certificate!$G$17:$G$21,CS6)&gt;=1,"",ROW())</f>
        <v>6</v>
      </c>
      <c r="CU6" s="49" t="str">
        <f t="shared" si="17"/>
        <v>Unit 9 - Travel and Tourism Employment Opportunities</v>
      </c>
      <c r="CW6" s="47" t="s">
        <v>47</v>
      </c>
      <c r="CX6" s="47">
        <f>IF(COUNTIF(Certificate!$G$23:$G$25,CW6)&gt;=1,"",ROW())</f>
        <v>6</v>
      </c>
      <c r="CY6" s="49" t="str">
        <f t="shared" si="18"/>
        <v>Unit 13 - Graphic Design for Digital Media</v>
      </c>
      <c r="DA6" s="47" t="s">
        <v>295</v>
      </c>
      <c r="DB6" s="47">
        <f>IF(COUNTIF(Certificate!$G$17:$G$21,DA6)&gt;=1,"",ROW())</f>
        <v>6</v>
      </c>
      <c r="DC6" s="49" t="str">
        <f>IF(ROW(DA6)-ROW(DA$2)+1&gt;COUNT(DB$2:DB$6),"",INDEX(DA:DA,SMALL(DB$2:DB$6,1+ROW(DA6)-ROW(DA$2))))</f>
        <v>Unit 15 - Designing for the Future</v>
      </c>
      <c r="DE6" s="47" t="s">
        <v>279</v>
      </c>
      <c r="DF6" s="47">
        <f>IF(COUNTIF(Certificate!$G$17:$G$21,DE6)&gt;=1,"",ROW())</f>
        <v>6</v>
      </c>
      <c r="DG6" s="49" t="str">
        <f t="shared" si="19"/>
        <v>Unit 10 - Fashion Briefs</v>
      </c>
      <c r="DI6" s="47" t="s">
        <v>279</v>
      </c>
      <c r="DJ6" s="47">
        <f>IF(COUNTIF(Certificate!$G$17:$G$21,DI6)&gt;=1,"",ROW())</f>
        <v>6</v>
      </c>
      <c r="DK6" s="49" t="str">
        <f t="shared" si="20"/>
        <v>Unit 10 - Fashion Briefs</v>
      </c>
      <c r="DM6" s="47" t="s">
        <v>296</v>
      </c>
      <c r="DN6" s="47">
        <f>IF(COUNTIF(Certificate!$G$17:$G$21,DM6)&gt;=1,"",ROW())</f>
        <v>6</v>
      </c>
      <c r="DO6" s="49" t="str">
        <f t="shared" si="21"/>
        <v>Unit 11 - Graphic Design Briefs</v>
      </c>
      <c r="DQ6" s="47" t="s">
        <v>297</v>
      </c>
      <c r="DR6" s="47">
        <f>IF(COUNTIF(Certificate!$G$17:$G$21,DQ6)&gt;=1,"",ROW())</f>
        <v>6</v>
      </c>
      <c r="DS6" s="49" t="str">
        <f t="shared" si="22"/>
        <v>Unit 14 - Photography Briefs</v>
      </c>
      <c r="DY6" s="23" t="s">
        <v>298</v>
      </c>
      <c r="DZ6" s="47">
        <f>IF(COUNTIF(Certificate!$G$23:$G$25,DY6)&gt;=1,"",ROW())</f>
        <v>6</v>
      </c>
      <c r="EA6" s="49" t="str">
        <f t="shared" si="23"/>
        <v>Unit 12 - Planning and Running a Hospitality Event</v>
      </c>
      <c r="EC6" s="14" t="s">
        <v>365</v>
      </c>
      <c r="ED6" s="47">
        <f>IF(COUNTIF(Certificate!$G$23:$G$25,EC6)&gt;=1,"",ROW())</f>
        <v>6</v>
      </c>
      <c r="EE6" s="49" t="str">
        <f>IF(ROW(EC6)-ROW(EC$2)+1&gt;COUNT(ED$2:ED$6),"",INDEX(EC:EC,SMALL(ED$2:ED$6,1+ROW(EC6)-ROW(EC$2))))</f>
        <v>Unit 15 - Music Ensemble</v>
      </c>
      <c r="EG6" s="97" t="s">
        <v>461</v>
      </c>
      <c r="EH6" s="47">
        <f>IF(COUNTIF(Certificate!$G$17:$G$21,EG6)&gt;=1,"",ROW())</f>
        <v>6</v>
      </c>
      <c r="EI6" s="49" t="str">
        <f t="shared" si="24"/>
        <v>Unit 8 - Promotion of Public Service Provision</v>
      </c>
    </row>
    <row r="7" spans="1:139" ht="14">
      <c r="A7" s="47" t="s">
        <v>279</v>
      </c>
      <c r="B7" s="47">
        <f>IF(COUNTIF(Certificate!$G$17:$G$21,A7)&gt;=1,"",ROW())</f>
        <v>7</v>
      </c>
      <c r="C7" s="47" t="str">
        <f t="shared" si="0"/>
        <v>Unit 10 - Fashion Briefs</v>
      </c>
      <c r="E7" s="14" t="s">
        <v>345</v>
      </c>
      <c r="F7" s="47">
        <f>IF(COUNTIF(Certificate!$G$17:$G$21,E7)&gt;=1,"",ROW())</f>
        <v>7</v>
      </c>
      <c r="G7" s="49" t="str">
        <f t="shared" si="1"/>
        <v>Unit 8 - Recruitment, Selection and Employment</v>
      </c>
      <c r="J7" s="50"/>
      <c r="K7" s="49"/>
      <c r="M7" s="14" t="s">
        <v>100</v>
      </c>
      <c r="N7" s="47">
        <f>IF(COUNTIF(Certificate!$G$17:$G$21,M7)&gt;=1,"",ROW())</f>
        <v>7</v>
      </c>
      <c r="O7" s="49" t="str">
        <f t="shared" si="2"/>
        <v>Unit 9 - Exploring Plumbing Principles and Techniques</v>
      </c>
      <c r="R7" s="50"/>
      <c r="S7" s="49"/>
      <c r="U7" s="14" t="s">
        <v>107</v>
      </c>
      <c r="V7" s="47">
        <f>IF(COUNTIF(Certificate!$G$17:$G$21,U7)&gt;=1,"",ROW())</f>
        <v>7</v>
      </c>
      <c r="W7" s="49" t="str">
        <f t="shared" si="3"/>
        <v>Unit 8 - Electronic Circuit Design and Construction</v>
      </c>
      <c r="Y7" s="23" t="s">
        <v>299</v>
      </c>
      <c r="Z7" s="47">
        <f>IF(COUNTIF(Certificate!$G$17:$G$21,Y7)&gt;=1,"",ROW())</f>
        <v>7</v>
      </c>
      <c r="AA7" s="49" t="str">
        <f t="shared" si="4"/>
        <v>Unit 10 - Human Body Systems and Care of Disorders</v>
      </c>
      <c r="AC7" s="14"/>
      <c r="AE7" s="49"/>
      <c r="AH7" s="50"/>
      <c r="AI7" s="49"/>
      <c r="AK7" s="23" t="s">
        <v>143</v>
      </c>
      <c r="AL7" s="47">
        <f>IF(COUNTIF(Certificate!$G$17:$G$21,AK7)&gt;=1,"",ROW())</f>
        <v>7</v>
      </c>
      <c r="AM7" s="49" t="str">
        <f t="shared" si="5"/>
        <v>Unit 9 - Spreadsheet Development</v>
      </c>
      <c r="AO7" s="14" t="s">
        <v>36</v>
      </c>
      <c r="AP7" s="47">
        <f>IF(COUNTIF(Certificate!$G$17:$G$21,AO7)&gt;=1,"",ROW())</f>
        <v>7</v>
      </c>
      <c r="AQ7" s="49" t="str">
        <f t="shared" si="6"/>
        <v>Unit 9 - Introducing Choral Studies</v>
      </c>
      <c r="AU7" s="48" t="str">
        <f t="shared" si="7"/>
        <v/>
      </c>
      <c r="AW7" s="14" t="s">
        <v>257</v>
      </c>
      <c r="AX7" s="50">
        <f>IF(COUNTIF(Certificate!$G$23:$G$25,AW7)&gt;=1,"",ROW())</f>
        <v>7</v>
      </c>
      <c r="AY7" s="49" t="str">
        <f t="shared" si="8"/>
        <v>Unit 14 - Voice and Speech for Performers</v>
      </c>
      <c r="BA7" s="14" t="s">
        <v>257</v>
      </c>
      <c r="BB7" s="50">
        <f>IF(COUNTIF(Certificate!$G$23:$G$25,BA7)&gt;=1,"",ROW())</f>
        <v>7</v>
      </c>
      <c r="BC7" s="49" t="str">
        <f t="shared" si="9"/>
        <v>Unit 14 - Voice and Speech for Performers</v>
      </c>
      <c r="BF7" s="48"/>
      <c r="BI7" s="14" t="s">
        <v>285</v>
      </c>
      <c r="BJ7" s="50">
        <f>IF(COUNTIF(Certificate!$G$23:$G$25,BI7)&gt;=1,"",ROW())</f>
        <v>7</v>
      </c>
      <c r="BK7" s="47" t="str">
        <f t="shared" si="10"/>
        <v>Unit 21 - Realising Set Design for Performance</v>
      </c>
      <c r="BM7" s="14"/>
      <c r="BN7" s="50"/>
      <c r="BO7" s="49"/>
      <c r="BQ7" s="14" t="s">
        <v>276</v>
      </c>
      <c r="BR7" s="50">
        <f>IF(COUNTIF(Certificate!$G$17:$G$19,BQ7)&gt;=1,"",ROW())</f>
        <v>7</v>
      </c>
      <c r="BS7" s="49" t="str">
        <f t="shared" si="11"/>
        <v>Unit 18 - Jazz Dance Techniques</v>
      </c>
      <c r="BU7" s="14" t="s">
        <v>292</v>
      </c>
      <c r="BV7" s="50">
        <f>IF(COUNTIF(Certificate!$G$23:$G$25,BU7)&gt;=1,"",ROW())</f>
        <v>7</v>
      </c>
      <c r="BW7" s="47" t="str">
        <f t="shared" si="12"/>
        <v>Unit 22 - Realising Prop Design for Performance</v>
      </c>
      <c r="CC7" s="14" t="s">
        <v>277</v>
      </c>
      <c r="CD7" s="50">
        <f>IF(COUNTIF(Certificate!$G$23:$G$25,CC7)&gt;=1,"",ROW())</f>
        <v>7</v>
      </c>
      <c r="CE7" s="47" t="str">
        <f t="shared" si="13"/>
        <v>Unit 20 - Realising Costume Design for Performance</v>
      </c>
      <c r="CG7" s="14" t="s">
        <v>300</v>
      </c>
      <c r="CH7" s="50">
        <f>IF(COUNTIF(Certificate!$G$17:$G$19,CG7)&gt;=1,"",ROW())</f>
        <v>7</v>
      </c>
      <c r="CI7" s="49" t="str">
        <f t="shared" si="14"/>
        <v>Unit 23 - Realising Mask Design for Performance</v>
      </c>
      <c r="CK7" s="14" t="s">
        <v>276</v>
      </c>
      <c r="CL7" s="50">
        <f>IF(COUNTIF(Certificate!$G$23:$G$25,CK7)&gt;=1,"",ROW())</f>
        <v>7</v>
      </c>
      <c r="CM7" s="47" t="str">
        <f t="shared" si="15"/>
        <v>Unit 18 - Jazz Dance Techniques</v>
      </c>
      <c r="CO7" s="23" t="s">
        <v>301</v>
      </c>
      <c r="CP7" s="47">
        <f>IF(COUNTIF(Certificate!$G$17:$G$21,CO7)&gt;=1,"",ROW())</f>
        <v>7</v>
      </c>
      <c r="CQ7" s="49" t="str">
        <f t="shared" si="16"/>
        <v>Unit 9 - Lifestyle and Well-being</v>
      </c>
      <c r="CS7" s="23" t="s">
        <v>302</v>
      </c>
      <c r="CT7" s="47">
        <f>IF(COUNTIF(Certificate!$G$17:$G$21,CS7)&gt;=1,"",ROW())</f>
        <v>7</v>
      </c>
      <c r="CU7" s="49" t="str">
        <f t="shared" si="17"/>
        <v>Unit 10 - Organising a Travel and Tourism Study Visit</v>
      </c>
      <c r="CW7" s="47" t="s">
        <v>48</v>
      </c>
      <c r="CX7" s="47">
        <f>IF(COUNTIF(Certificate!$G$23:$G$25,CW7)&gt;=1,"",ROW())</f>
        <v>7</v>
      </c>
      <c r="CY7" s="49" t="str">
        <f t="shared" si="18"/>
        <v>Unit 14 - Writing for Digital Media</v>
      </c>
      <c r="DE7" s="47" t="s">
        <v>295</v>
      </c>
      <c r="DF7" s="47">
        <f>IF(COUNTIF(Certificate!$G$17:$G$21,DE7)&gt;=1,"",ROW())</f>
        <v>7</v>
      </c>
      <c r="DG7" s="49" t="str">
        <f t="shared" si="19"/>
        <v>Unit 15 - Designing for the Future</v>
      </c>
      <c r="DI7" s="47" t="str">
        <f>IF(DI11=1,"","Unit 11 - Graphic Design Briefs")</f>
        <v>Unit 11 - Graphic Design Briefs</v>
      </c>
      <c r="DJ7" s="47">
        <f>IF(COUNTIF(Certificate!$G$17:$G$21,DI7)&gt;=1,"",ROW())</f>
        <v>7</v>
      </c>
      <c r="DK7" s="49" t="str">
        <f t="shared" si="20"/>
        <v>Unit 11 - Graphic Design Briefs</v>
      </c>
      <c r="DM7" s="47" t="s">
        <v>288</v>
      </c>
      <c r="DN7" s="47">
        <f>IF(COUNTIF(Certificate!$G$17:$G$21,DM7)&gt;=1,"",ROW())</f>
        <v>7</v>
      </c>
      <c r="DO7" s="49" t="str">
        <f t="shared" si="21"/>
        <v>Unit 12 - Textiles Briefs</v>
      </c>
      <c r="DQ7" s="47" t="s">
        <v>295</v>
      </c>
      <c r="DR7" s="47">
        <f>IF(COUNTIF(Certificate!$G$17:$G$21,DQ7)&gt;=1,"",ROW())</f>
        <v>7</v>
      </c>
      <c r="DS7" s="49" t="str">
        <f t="shared" si="22"/>
        <v>Unit 15 - Designing for the Future</v>
      </c>
      <c r="DY7" s="23" t="s">
        <v>303</v>
      </c>
      <c r="DZ7" s="47">
        <f>IF(COUNTIF(Certificate!$G$23:$G$25,DY7)&gt;=1,"",ROW())</f>
        <v>7</v>
      </c>
      <c r="EA7" s="49" t="str">
        <f t="shared" si="23"/>
        <v>Unit 13 - Contemporary World Food Cooking Skills</v>
      </c>
      <c r="EG7" s="97" t="s">
        <v>462</v>
      </c>
      <c r="EH7" s="47">
        <f>IF(COUNTIF(Certificate!$G$17:$G$21,EG7)&gt;=1,"",ROW())</f>
        <v>7</v>
      </c>
      <c r="EI7" s="49" t="str">
        <f t="shared" si="24"/>
        <v>Unit 9 - Community and Cultural Awareness</v>
      </c>
    </row>
    <row r="8" spans="1:139" ht="14">
      <c r="A8" s="47" t="str">
        <f>IF(A15=1,"","Unit 11 - Graphic Design Briefs")</f>
        <v>Unit 11 - Graphic Design Briefs</v>
      </c>
      <c r="B8" s="47">
        <f>IF(COUNTIF(Certificate!$G$17:$G$21,A8)&gt;=1,"",ROW())</f>
        <v>8</v>
      </c>
      <c r="C8" s="47" t="str">
        <f t="shared" si="0"/>
        <v>Unit 11 - Graphic Design Briefs</v>
      </c>
      <c r="E8" s="33" t="s">
        <v>346</v>
      </c>
      <c r="F8" s="47">
        <f>IF(COUNTIF(Certificate!$G$17:$G$21,E8)&gt;=1,"",ROW())</f>
        <v>8</v>
      </c>
      <c r="G8" s="49" t="str">
        <f t="shared" si="1"/>
        <v>Unit 10 - Using Business Documentation</v>
      </c>
      <c r="M8" s="14" t="s">
        <v>101</v>
      </c>
      <c r="N8" s="47">
        <f>IF(COUNTIF(Certificate!$G$17:$G$21,M8)&gt;=1,"",ROW())</f>
        <v>8</v>
      </c>
      <c r="O8" s="49" t="str">
        <f t="shared" si="2"/>
        <v>Unit 10 - Exploring Electrical Principles and Techniques</v>
      </c>
      <c r="U8" s="23" t="s">
        <v>304</v>
      </c>
      <c r="V8" s="47">
        <f>IF(COUNTIF(Certificate!$G$17:$G$21,U8)&gt;=1,"",ROW())</f>
        <v>8</v>
      </c>
      <c r="W8" s="49" t="str">
        <f t="shared" si="3"/>
        <v>Unit 11 - Electrical and Mechanical Science for Engineering</v>
      </c>
      <c r="Y8" s="23" t="s">
        <v>305</v>
      </c>
      <c r="Z8" s="47">
        <f>IF(COUNTIF(Certificate!$G$17:$G$21,Y8)&gt;=1,"",ROW())</f>
        <v>8</v>
      </c>
      <c r="AA8" s="49" t="str">
        <f t="shared" si="4"/>
        <v>Unit 11 - Services in Health and Social Care</v>
      </c>
      <c r="AK8" s="23" t="s">
        <v>306</v>
      </c>
      <c r="AL8" s="47">
        <f>IF(COUNTIF(Certificate!$G$17:$G$21,AK8)&gt;=1,"",ROW())</f>
        <v>8</v>
      </c>
      <c r="AM8" s="49" t="str">
        <f t="shared" si="5"/>
        <v>Unit 10 - Database Development</v>
      </c>
      <c r="AO8" s="14" t="s">
        <v>37</v>
      </c>
      <c r="AP8" s="47">
        <f>IF(COUNTIF(Certificate!$G$17:$G$21,AO8)&gt;=1,"",ROW())</f>
        <v>8</v>
      </c>
      <c r="AQ8" s="49" t="str">
        <f t="shared" si="6"/>
        <v>Unit 10 - Introducing Music Theory</v>
      </c>
      <c r="AW8" s="14" t="s">
        <v>258</v>
      </c>
      <c r="AX8" s="50">
        <f>IF(COUNTIF(Certificate!$G$23:$G$25,AW8)&gt;=1,"",ROW())</f>
        <v>8</v>
      </c>
      <c r="AY8" s="49" t="str">
        <f t="shared" si="8"/>
        <v>Unit 15 - Performing Scripted Plays</v>
      </c>
      <c r="BA8" s="14" t="s">
        <v>258</v>
      </c>
      <c r="BB8" s="50">
        <f>IF(COUNTIF(Certificate!$G$23:$G$25,BA8)&gt;=1,"",ROW())</f>
        <v>8</v>
      </c>
      <c r="BC8" s="49" t="str">
        <f t="shared" si="9"/>
        <v>Unit 15 - Performing Scripted Plays</v>
      </c>
      <c r="BI8" s="14" t="s">
        <v>292</v>
      </c>
      <c r="BJ8" s="50">
        <f>IF(COUNTIF(Certificate!$G$23:$G$25,BI8)&gt;=1,"",ROW())</f>
        <v>8</v>
      </c>
      <c r="BK8" s="47" t="str">
        <f t="shared" si="10"/>
        <v>Unit 22 - Realising Prop Design for Performance</v>
      </c>
      <c r="BM8" s="14"/>
      <c r="BN8" s="50"/>
      <c r="BO8" s="49"/>
      <c r="BU8" s="14" t="s">
        <v>300</v>
      </c>
      <c r="BV8" s="50">
        <f>IF(COUNTIF(Certificate!$G$23:$G$25,BU8)&gt;=1,"",ROW())</f>
        <v>8</v>
      </c>
      <c r="BW8" s="47" t="str">
        <f t="shared" si="12"/>
        <v>Unit 23 - Realising Mask Design for Performance</v>
      </c>
      <c r="CC8" s="14" t="s">
        <v>285</v>
      </c>
      <c r="CD8" s="50">
        <f>IF(COUNTIF(Certificate!$G$23:$G$25,CC8)&gt;=1,"",ROW())</f>
        <v>8</v>
      </c>
      <c r="CE8" s="47" t="str">
        <f t="shared" si="13"/>
        <v>Unit 21 - Realising Set Design for Performance</v>
      </c>
      <c r="CG8" s="14" t="s">
        <v>307</v>
      </c>
      <c r="CH8" s="50">
        <f>IF(COUNTIF(Certificate!$G$17:$G$19,CG8)&gt;=1,"",ROW())</f>
        <v>8</v>
      </c>
      <c r="CI8" s="49" t="str">
        <f t="shared" si="14"/>
        <v>Unit 24 - Lighting for Performance</v>
      </c>
      <c r="CO8" s="23" t="s">
        <v>308</v>
      </c>
      <c r="CP8" s="47">
        <f>IF(COUNTIF(Certificate!$G$17:$G$21,CO8)&gt;=1,"",ROW())</f>
        <v>8</v>
      </c>
      <c r="CQ8" s="49" t="str">
        <f t="shared" si="16"/>
        <v>Unit 10 - Injury and the Sports Performer</v>
      </c>
      <c r="CS8" s="46"/>
      <c r="CW8" s="47" t="s">
        <v>360</v>
      </c>
      <c r="CX8" s="47">
        <f>IF(COUNTIF(Certificate!$G$23:$G$25,CW8)&gt;=1,"",ROW())</f>
        <v>8</v>
      </c>
      <c r="CY8" s="49" t="str">
        <f t="shared" si="18"/>
        <v>Unit 15 - Digital Games Testing</v>
      </c>
      <c r="DI8" s="47" t="s">
        <v>288</v>
      </c>
      <c r="DJ8" s="47">
        <f>IF(COUNTIF(Certificate!$G$17:$G$21,DI8)&gt;=1,"",ROW())</f>
        <v>8</v>
      </c>
      <c r="DK8" s="49" t="str">
        <f t="shared" si="20"/>
        <v>Unit 12 - Textiles Briefs</v>
      </c>
      <c r="DM8" s="47" t="s">
        <v>297</v>
      </c>
      <c r="DN8" s="47">
        <f>IF(COUNTIF(Certificate!$G$17:$G$21,DM8)&gt;=1,"",ROW())</f>
        <v>8</v>
      </c>
      <c r="DO8" s="49" t="str">
        <f t="shared" si="21"/>
        <v>Unit 14 - Photography Briefs</v>
      </c>
      <c r="EG8" s="97" t="s">
        <v>463</v>
      </c>
      <c r="EH8" s="47">
        <f>IF(COUNTIF(Certificate!$G$17:$G$21,EG8)&gt;=1,"",ROW())</f>
        <v>8</v>
      </c>
      <c r="EI8" s="49" t="str">
        <f t="shared" si="24"/>
        <v>Unit 10 - Adventurous Activities in the Public Services</v>
      </c>
    </row>
    <row r="9" spans="1:139" ht="14">
      <c r="A9" s="47" t="s">
        <v>288</v>
      </c>
      <c r="B9" s="47">
        <f>IF(COUNTIF(Certificate!$G$17:$G$21,A9)&gt;=1,"",ROW())</f>
        <v>9</v>
      </c>
      <c r="C9" s="47" t="str">
        <f t="shared" si="0"/>
        <v>Unit 12 - Textiles Briefs</v>
      </c>
      <c r="E9" s="33" t="s">
        <v>348</v>
      </c>
      <c r="F9" s="47">
        <f>IF(COUNTIF(Certificate!$G$17:$G$21,E9)&gt;=1,"",ROW())</f>
        <v>9</v>
      </c>
      <c r="G9" s="49" t="str">
        <f t="shared" si="1"/>
        <v>Unit 11 - Building Successful Business Teams</v>
      </c>
      <c r="M9" s="23" t="s">
        <v>309</v>
      </c>
      <c r="N9" s="47">
        <f>IF(COUNTIF(Certificate!$G$17:$G$21,M9)&gt;=1,"",ROW())</f>
        <v>9</v>
      </c>
      <c r="O9" s="49" t="str">
        <f t="shared" si="2"/>
        <v>Unit 12 - The Construction Industry</v>
      </c>
      <c r="U9" s="23" t="s">
        <v>310</v>
      </c>
      <c r="V9" s="47">
        <f>IF(COUNTIF(Certificate!$G$17:$G$21,U9)&gt;=1,"",ROW())</f>
        <v>9</v>
      </c>
      <c r="W9" s="49" t="str">
        <f t="shared" si="3"/>
        <v>Unit 12 - Engineering Design</v>
      </c>
      <c r="Y9" s="23" t="s">
        <v>311</v>
      </c>
      <c r="Z9" s="47">
        <f>IF(COUNTIF(Certificate!$G$17:$G$21,Y9)&gt;=1,"",ROW())</f>
        <v>9</v>
      </c>
      <c r="AA9" s="49" t="str">
        <f t="shared" si="4"/>
        <v>Unit 12 - Creative and Therapeutic Activities in Health and Social Care</v>
      </c>
      <c r="AK9" s="23" t="s">
        <v>144</v>
      </c>
      <c r="AL9" s="47">
        <f>IF(COUNTIF(Certificate!$G$17:$G$21,AK9)&gt;=1,"",ROW())</f>
        <v>9</v>
      </c>
      <c r="AM9" s="49" t="str">
        <f t="shared" si="5"/>
        <v>Unit 11 - Computer Networks</v>
      </c>
      <c r="AW9" s="14" t="s">
        <v>255</v>
      </c>
      <c r="AX9" s="50">
        <f>IF(COUNTIF(Certificate!$G$23:$G$25,AW9)&gt;=1,"",ROW())</f>
        <v>9</v>
      </c>
      <c r="AY9" s="49" t="str">
        <f t="shared" si="8"/>
        <v>Unit 16 - Contemporary Dance Techniques</v>
      </c>
      <c r="BA9" s="14" t="s">
        <v>255</v>
      </c>
      <c r="BB9" s="50">
        <f>IF(COUNTIF(Certificate!$G$23:$G$25,BA9)&gt;=1,"",ROW())</f>
        <v>9</v>
      </c>
      <c r="BC9" s="49" t="str">
        <f t="shared" si="9"/>
        <v>Unit 16 - Contemporary Dance Techniques</v>
      </c>
      <c r="BI9" s="14" t="s">
        <v>300</v>
      </c>
      <c r="BJ9" s="50">
        <f>IF(COUNTIF(Certificate!$G$23:$G$25,BI9)&gt;=1,"",ROW())</f>
        <v>9</v>
      </c>
      <c r="BK9" s="47" t="str">
        <f t="shared" si="10"/>
        <v>Unit 23 - Realising Mask Design for Performance</v>
      </c>
      <c r="BM9" s="14"/>
      <c r="BN9" s="50"/>
      <c r="BO9" s="49"/>
      <c r="BU9" s="14" t="s">
        <v>307</v>
      </c>
      <c r="BV9" s="50">
        <f>IF(COUNTIF(Certificate!$G$23:$G$25,BU9)&gt;=1,"",ROW())</f>
        <v>9</v>
      </c>
      <c r="BW9" s="47" t="str">
        <f t="shared" si="12"/>
        <v>Unit 24 - Lighting for Performance</v>
      </c>
      <c r="CC9" s="14" t="s">
        <v>292</v>
      </c>
      <c r="CD9" s="50">
        <f>IF(COUNTIF(Certificate!$G$23:$G$25,CC9)&gt;=1,"",ROW())</f>
        <v>9</v>
      </c>
      <c r="CE9" s="47" t="str">
        <f t="shared" si="13"/>
        <v>Unit 22 - Realising Prop Design for Performance</v>
      </c>
      <c r="CG9" s="14" t="s">
        <v>312</v>
      </c>
      <c r="CH9" s="50">
        <f>IF(COUNTIF(Certificate!$G$17:$G$19,CG9)&gt;=1,"",ROW())</f>
        <v>9</v>
      </c>
      <c r="CI9" s="49" t="str">
        <f t="shared" si="14"/>
        <v>Unit 25 - Sound for Performance</v>
      </c>
      <c r="CO9" s="23" t="s">
        <v>313</v>
      </c>
      <c r="CP9" s="47">
        <f>IF(COUNTIF(Certificate!$G$17:$G$21,CO9)&gt;=1,"",ROW())</f>
        <v>9</v>
      </c>
      <c r="CQ9" s="49" t="str">
        <f t="shared" si="16"/>
        <v>Unit 11 - Running a Sports Event</v>
      </c>
      <c r="EG9" s="97" t="s">
        <v>464</v>
      </c>
      <c r="EH9" s="47">
        <f>IF(COUNTIF(Certificate!$G$17:$G$21,EG9)&gt;=1,"",ROW())</f>
        <v>9</v>
      </c>
      <c r="EI9" s="49" t="str">
        <f t="shared" si="24"/>
        <v>Unit 11 - Sport and Recreation in the Public Services</v>
      </c>
    </row>
    <row r="10" spans="1:139" ht="14">
      <c r="A10" s="47" t="str">
        <f>IF(OR(A15=1,A18=1),"","Unit 13 - Visual Arts Briefs")</f>
        <v>Unit 13 - Visual Arts Briefs</v>
      </c>
      <c r="B10" s="47">
        <f>IF(COUNTIF(Certificate!$G$17:$G$21,A10)&gt;=1,"",ROW())</f>
        <v>10</v>
      </c>
      <c r="C10" s="47" t="str">
        <f t="shared" si="0"/>
        <v>Unit 13 - Visual Arts Briefs</v>
      </c>
      <c r="E10" s="33" t="s">
        <v>349</v>
      </c>
      <c r="F10" s="47">
        <f>IF(COUNTIF(Certificate!$G$17:$G$21,E10)&gt;=1,"",ROW())</f>
        <v>10</v>
      </c>
      <c r="G10" s="49" t="str">
        <f t="shared" si="1"/>
        <v>Unit 12 - Introducing Law and Consumer Rights</v>
      </c>
      <c r="M10" s="23" t="s">
        <v>314</v>
      </c>
      <c r="N10" s="47">
        <f>IF(COUNTIF(Certificate!$G$17:$G$21,M10)&gt;=1,"",ROW())</f>
        <v>10</v>
      </c>
      <c r="O10" s="49" t="str">
        <f t="shared" si="2"/>
        <v>Unit 13 - Exploring Roofing Principles and Techniques</v>
      </c>
      <c r="U10" s="23" t="s">
        <v>315</v>
      </c>
      <c r="V10" s="47">
        <f>IF(COUNTIF(Certificate!$G$17:$G$21,U10)&gt;=1,"",ROW())</f>
        <v>10</v>
      </c>
      <c r="W10" s="49" t="str">
        <f t="shared" si="3"/>
        <v>Unit 13 - Engineering Assembly</v>
      </c>
      <c r="AK10" s="23" t="s">
        <v>316</v>
      </c>
      <c r="AL10" s="47">
        <f>IF(COUNTIF(Certificate!$G$17:$G$21,AK10)&gt;=1,"",ROW())</f>
        <v>10</v>
      </c>
      <c r="AM10" s="49" t="str">
        <f t="shared" si="5"/>
        <v>Unit 12 - Software Development</v>
      </c>
      <c r="AW10" s="14" t="s">
        <v>268</v>
      </c>
      <c r="AX10" s="50">
        <f>IF(COUNTIF(Certificate!$G$23:$G$25,AW10)&gt;=1,"",ROW())</f>
        <v>10</v>
      </c>
      <c r="AY10" s="49" t="str">
        <f t="shared" si="8"/>
        <v>Unit 17 - Exploring Urban Dance Styles</v>
      </c>
      <c r="BA10" s="14" t="s">
        <v>268</v>
      </c>
      <c r="BB10" s="50">
        <f>IF(COUNTIF(Certificate!$G$23:$G$25,BA10)&gt;=1,"",ROW())</f>
        <v>10</v>
      </c>
      <c r="BC10" s="49" t="str">
        <f t="shared" si="9"/>
        <v>Unit 17 - Exploring Urban Dance Styles</v>
      </c>
      <c r="BI10" s="14" t="s">
        <v>307</v>
      </c>
      <c r="BJ10" s="50">
        <f>IF(COUNTIF(Certificate!$G$23:$G$25,BI10)&gt;=1,"",ROW())</f>
        <v>10</v>
      </c>
      <c r="BK10" s="47" t="str">
        <f t="shared" si="10"/>
        <v>Unit 24 - Lighting for Performance</v>
      </c>
      <c r="BM10" s="14"/>
      <c r="BN10" s="50"/>
      <c r="BO10" s="49"/>
      <c r="BU10" s="14" t="s">
        <v>312</v>
      </c>
      <c r="BV10" s="50">
        <f>IF(COUNTIF(Certificate!$G$23:$G$25,BU10)&gt;=1,"",ROW())</f>
        <v>10</v>
      </c>
      <c r="BW10" s="47" t="str">
        <f t="shared" si="12"/>
        <v>Unit 25 - Sound for Performance</v>
      </c>
      <c r="CC10" s="14" t="s">
        <v>300</v>
      </c>
      <c r="CD10" s="50">
        <f>IF(COUNTIF(Certificate!$G$23:$G$25,CC10)&gt;=1,"",ROW())</f>
        <v>10</v>
      </c>
      <c r="CE10" s="47" t="str">
        <f t="shared" si="13"/>
        <v>Unit 23 - Realising Mask Design for Performance</v>
      </c>
      <c r="CG10" s="23" t="s">
        <v>317</v>
      </c>
      <c r="CH10" s="50">
        <f>IF(COUNTIF(Certificate!$G$17:$G$19,CG10)&gt;=1,"",ROW())</f>
        <v>10</v>
      </c>
      <c r="CI10" s="49" t="str">
        <f t="shared" si="14"/>
        <v>Unit 28 - Make-up for Performance</v>
      </c>
      <c r="CO10" s="23" t="s">
        <v>318</v>
      </c>
      <c r="CP10" s="47">
        <f>IF(COUNTIF(Certificate!$G$17:$G$21,CO10)&gt;=1,"",ROW())</f>
        <v>10</v>
      </c>
      <c r="CQ10" s="49" t="str">
        <f t="shared" si="16"/>
        <v>Unit 12 - The Sport and Active Leisure Industry</v>
      </c>
      <c r="DI10" s="47" t="s">
        <v>160</v>
      </c>
      <c r="EG10" s="97" t="s">
        <v>465</v>
      </c>
      <c r="EH10" s="47">
        <f>IF(COUNTIF(Certificate!$G$17:$G$21,EG10)&gt;=1,"",ROW())</f>
        <v>10</v>
      </c>
      <c r="EI10" s="49" t="str">
        <f>IF(ROW(EG10)-ROW(EG$2)+1&gt;COUNT(EH$2:EH$10),"",INDEX(EG:EG,SMALL(EH$2:EH$10,1+ROW(EG10)-ROW(EG$2))))</f>
        <v>Unit 12 - Land Navigation by Map and Compass</v>
      </c>
    </row>
    <row r="11" spans="1:139" ht="14">
      <c r="A11" s="47" t="s">
        <v>297</v>
      </c>
      <c r="B11" s="47">
        <f>IF(COUNTIF(Certificate!$G$17:$G$21,A11)&gt;=1,"",ROW())</f>
        <v>11</v>
      </c>
      <c r="C11" s="47" t="str">
        <f t="shared" si="0"/>
        <v>Unit 14 - Photography Briefs</v>
      </c>
      <c r="E11" s="33" t="s">
        <v>350</v>
      </c>
      <c r="F11" s="47">
        <f>IF(COUNTIF(Certificate!$G$17:$G$21,E11)&gt;=1,"",ROW())</f>
        <v>11</v>
      </c>
      <c r="G11" s="49" t="str">
        <f t="shared" si="1"/>
        <v>Unit 13 - Financial Planning and Forecasting</v>
      </c>
      <c r="M11" s="23" t="s">
        <v>319</v>
      </c>
      <c r="N11" s="47">
        <f>IF(COUNTIF(Certificate!$G$17:$G$21,M11)&gt;=1,"",ROW())</f>
        <v>11</v>
      </c>
      <c r="O11" s="49" t="str">
        <f t="shared" si="2"/>
        <v>Unit 14 - Exploring Wall and Floor Tiling Principles and Techniques</v>
      </c>
      <c r="U11" s="23" t="s">
        <v>320</v>
      </c>
      <c r="V11" s="47">
        <f>IF(COUNTIF(Certificate!$G$17:$G$21,U11)&gt;=1,"",ROW())</f>
        <v>11</v>
      </c>
      <c r="W11" s="49" t="str">
        <f t="shared" si="3"/>
        <v>Unit 14 - Vehicle Engines and Other Systems</v>
      </c>
      <c r="AK11" s="23" t="s">
        <v>145</v>
      </c>
      <c r="AL11" s="47">
        <f>IF(COUNTIF(Certificate!$G$17:$G$21,AK11)&gt;=1,"",ROW())</f>
        <v>11</v>
      </c>
      <c r="AM11" s="49" t="str">
        <f t="shared" si="5"/>
        <v>Unit 13 - Website Development</v>
      </c>
      <c r="AW11" s="14" t="s">
        <v>276</v>
      </c>
      <c r="AX11" s="50">
        <f>IF(COUNTIF(Certificate!$G$23:$G$25,AW11)&gt;=1,"",ROW())</f>
        <v>11</v>
      </c>
      <c r="AY11" s="49" t="str">
        <f t="shared" si="8"/>
        <v>Unit 18 - Jazz Dance Techniques</v>
      </c>
      <c r="BA11" s="14" t="s">
        <v>276</v>
      </c>
      <c r="BB11" s="50">
        <f>IF(COUNTIF(Certificate!$G$23:$G$25,BA11)&gt;=1,"",ROW())</f>
        <v>11</v>
      </c>
      <c r="BC11" s="49" t="str">
        <f t="shared" si="9"/>
        <v>Unit 18 - Jazz Dance Techniques</v>
      </c>
      <c r="BI11" s="14" t="s">
        <v>312</v>
      </c>
      <c r="BJ11" s="50">
        <f>IF(COUNTIF(Certificate!$G$23:$G$25,BI11)&gt;=1,"",ROW())</f>
        <v>11</v>
      </c>
      <c r="BK11" s="47" t="str">
        <f t="shared" si="10"/>
        <v>Unit 25 - Sound for Performance</v>
      </c>
      <c r="BM11" s="14"/>
      <c r="BN11" s="50"/>
      <c r="BO11" s="49"/>
      <c r="BU11" s="23" t="s">
        <v>317</v>
      </c>
      <c r="BV11" s="50">
        <f>IF(COUNTIF(Certificate!$G$23:$G$25,BU11)&gt;=1,"",ROW())</f>
        <v>11</v>
      </c>
      <c r="BW11" s="47" t="str">
        <f t="shared" si="12"/>
        <v>Unit 28 - Make-up for Performance</v>
      </c>
      <c r="CC11" s="14" t="s">
        <v>307</v>
      </c>
      <c r="CD11" s="50">
        <f>IF(COUNTIF(Certificate!$G$23:$G$25,CC11)&gt;=1,"",ROW())</f>
        <v>11</v>
      </c>
      <c r="CE11" s="47" t="str">
        <f t="shared" si="13"/>
        <v>Unit 24 - Lighting for Performance</v>
      </c>
      <c r="CG11" s="23" t="s">
        <v>321</v>
      </c>
      <c r="CH11" s="50">
        <f>IF(COUNTIF(Certificate!$G$17:$G$19,CG11)&gt;=1,"",ROW())</f>
        <v>11</v>
      </c>
      <c r="CI11" s="49" t="str">
        <f t="shared" si="14"/>
        <v>Unit 29 - Wardrobe for Stage Performance</v>
      </c>
      <c r="DI11" s="47">
        <f>COUNTIF(Certificate!$G$17:$G$21,"Unit 3 - Communicating Ideas in 2D")</f>
        <v>0</v>
      </c>
    </row>
    <row r="12" spans="1:139" ht="14">
      <c r="A12" s="47" t="s">
        <v>295</v>
      </c>
      <c r="B12" s="47">
        <f>IF(COUNTIF(Certificate!$G$17:$G$21,A12)&gt;=1,"",ROW())</f>
        <v>12</v>
      </c>
      <c r="C12" s="47" t="str">
        <f t="shared" si="0"/>
        <v>Unit 15 - Designing for the Future</v>
      </c>
      <c r="E12" s="33" t="s">
        <v>351</v>
      </c>
      <c r="F12" s="47">
        <f>IF(COUNTIF(Certificate!$G$17:$G$21,E12)&gt;=1,"",ROW())</f>
        <v>12</v>
      </c>
      <c r="G12" s="49" t="str">
        <f t="shared" si="1"/>
        <v>Unit 14 - Business Online</v>
      </c>
      <c r="M12" s="23" t="s">
        <v>322</v>
      </c>
      <c r="N12" s="47">
        <f>IF(COUNTIF(Certificate!$G$17:$G$21,M12)&gt;=1,"",ROW())</f>
        <v>12</v>
      </c>
      <c r="O12" s="49" t="str">
        <f t="shared" si="2"/>
        <v>Unit 15 - Exploring Plastering and Dry Lining Principles and Techniques</v>
      </c>
      <c r="AK12" s="23" t="s">
        <v>323</v>
      </c>
      <c r="AL12" s="47">
        <f>IF(COUNTIF(Certificate!$G$17:$G$21,AK12)&gt;=1,"",ROW())</f>
        <v>12</v>
      </c>
      <c r="AM12" s="49" t="str">
        <f t="shared" si="5"/>
        <v>Unit 14 - Installing and Maintaining Computer Hardware</v>
      </c>
      <c r="AW12" s="14" t="s">
        <v>269</v>
      </c>
      <c r="AX12" s="50">
        <f>IF(COUNTIF(Certificate!$G$23:$G$25,AW12)&gt;=1,"",ROW())</f>
        <v>12</v>
      </c>
      <c r="AY12" s="49" t="str">
        <f t="shared" si="8"/>
        <v>Unit 19 - Design Planning for Performance</v>
      </c>
      <c r="BA12" s="14" t="s">
        <v>269</v>
      </c>
      <c r="BB12" s="50">
        <f>IF(COUNTIF(Certificate!$G$23:$G$25,BA12)&gt;=1,"",ROW())</f>
        <v>12</v>
      </c>
      <c r="BC12" s="49" t="str">
        <f t="shared" si="9"/>
        <v>Unit 19 - Design Planning for Performance</v>
      </c>
      <c r="BI12" s="23" t="s">
        <v>317</v>
      </c>
      <c r="BJ12" s="50">
        <f>IF(COUNTIF(Certificate!$G$23:$G$25,BI12)&gt;=1,"",ROW())</f>
        <v>12</v>
      </c>
      <c r="BK12" s="47" t="str">
        <f t="shared" si="10"/>
        <v>Unit 28 - Make-up for Performance</v>
      </c>
      <c r="BM12" s="14"/>
      <c r="BN12" s="50"/>
      <c r="BO12" s="49"/>
      <c r="BU12" s="23" t="s">
        <v>321</v>
      </c>
      <c r="BV12" s="50">
        <f>IF(COUNTIF(Certificate!$G$23:$G$25,BU12)&gt;=1,"",ROW())</f>
        <v>12</v>
      </c>
      <c r="BW12" s="47" t="str">
        <f t="shared" si="12"/>
        <v>Unit 29 - Wardrobe for Stage Performance</v>
      </c>
      <c r="CC12" s="14" t="s">
        <v>312</v>
      </c>
      <c r="CD12" s="50">
        <f>IF(COUNTIF(Certificate!$G$23:$G$25,CC12)&gt;=1,"",ROW())</f>
        <v>12</v>
      </c>
      <c r="CE12" s="47" t="str">
        <f t="shared" si="13"/>
        <v>Unit 25 - Sound for Performance</v>
      </c>
      <c r="EC12" s="14"/>
    </row>
    <row r="13" spans="1:139" ht="14">
      <c r="E13" s="33" t="s">
        <v>352</v>
      </c>
      <c r="F13" s="47">
        <f>IF(COUNTIF(Certificate!$G$17:$G$21,E13)&gt;=1,"",ROW())</f>
        <v>13</v>
      </c>
      <c r="G13" s="49" t="str">
        <f t="shared" si="1"/>
        <v>Unit 15 - Public Sector Business</v>
      </c>
      <c r="AK13" s="23" t="s">
        <v>324</v>
      </c>
      <c r="AL13" s="47">
        <f>IF(COUNTIF(Certificate!$G$17:$G$21,AK13)&gt;=1,"",ROW())</f>
        <v>13</v>
      </c>
      <c r="AM13" s="49" t="str">
        <f t="shared" si="5"/>
        <v>Unit 15 - Installing and Maintaining Computer Software</v>
      </c>
      <c r="AW13" s="14" t="s">
        <v>277</v>
      </c>
      <c r="AX13" s="50">
        <f>IF(COUNTIF(Certificate!$G$23:$G$25,AW13)&gt;=1,"",ROW())</f>
        <v>13</v>
      </c>
      <c r="AY13" s="49" t="str">
        <f t="shared" si="8"/>
        <v>Unit 20 - Realising Costume Design for Performance</v>
      </c>
      <c r="BA13" s="14" t="s">
        <v>277</v>
      </c>
      <c r="BB13" s="50">
        <f>IF(COUNTIF(Certificate!$G$23:$G$25,BA13)&gt;=1,"",ROW())</f>
        <v>13</v>
      </c>
      <c r="BC13" s="49" t="str">
        <f t="shared" si="9"/>
        <v>Unit 20 - Realising Costume Design for Performance</v>
      </c>
      <c r="BI13" s="23" t="s">
        <v>321</v>
      </c>
      <c r="BJ13" s="50">
        <f>IF(COUNTIF(Certificate!$G$23:$G$25,BI13)&gt;=1,"",ROW())</f>
        <v>13</v>
      </c>
      <c r="BK13" s="47" t="str">
        <f t="shared" si="10"/>
        <v>Unit 29 - Wardrobe for Stage Performance</v>
      </c>
      <c r="BM13" s="14"/>
      <c r="BN13" s="50"/>
      <c r="BO13" s="49"/>
      <c r="CC13" s="23" t="s">
        <v>317</v>
      </c>
      <c r="CD13" s="50">
        <f>IF(COUNTIF(Certificate!$G$23:$G$25,CC13)&gt;=1,"",ROW())</f>
        <v>13</v>
      </c>
      <c r="CE13" s="47" t="str">
        <f t="shared" si="13"/>
        <v>Unit 28 - Make-up for Performance</v>
      </c>
      <c r="DI13" s="47" t="s">
        <v>660</v>
      </c>
      <c r="EC13" s="14"/>
    </row>
    <row r="14" spans="1:139" ht="14">
      <c r="A14" s="47" t="s">
        <v>160</v>
      </c>
      <c r="AK14" s="23" t="s">
        <v>325</v>
      </c>
      <c r="AL14" s="47">
        <f>IF(COUNTIF(Certificate!$G$17:$G$21,AK14)&gt;=1,"",ROW())</f>
        <v>14</v>
      </c>
      <c r="AM14" s="49" t="str">
        <f t="shared" si="5"/>
        <v>Unit 16 - Automated Computer Systems</v>
      </c>
      <c r="AW14" s="14" t="s">
        <v>285</v>
      </c>
      <c r="AX14" s="50">
        <f>IF(COUNTIF(Certificate!$G$23:$G$25,AW14)&gt;=1,"",ROW())</f>
        <v>14</v>
      </c>
      <c r="AY14" s="49" t="str">
        <f t="shared" si="8"/>
        <v>Unit 21 - Realising Set Design for Performance</v>
      </c>
      <c r="BA14" s="14" t="s">
        <v>285</v>
      </c>
      <c r="BB14" s="50">
        <f>IF(COUNTIF(Certificate!$G$23:$G$25,BA14)&gt;=1,"",ROW())</f>
        <v>14</v>
      </c>
      <c r="BC14" s="49" t="str">
        <f t="shared" si="9"/>
        <v>Unit 21 - Realising Set Design for Performance</v>
      </c>
      <c r="BM14" s="14"/>
      <c r="BN14" s="50"/>
      <c r="BO14" s="49"/>
      <c r="CC14" s="23" t="s">
        <v>321</v>
      </c>
      <c r="CD14" s="50">
        <f>IF(COUNTIF(Certificate!$G$23:$G$25,CC14)&gt;=1,"",ROW())</f>
        <v>14</v>
      </c>
      <c r="CE14" s="47" t="str">
        <f t="shared" si="13"/>
        <v>Unit 29 - Wardrobe for Stage Performance</v>
      </c>
      <c r="DI14" s="47">
        <f>COUNTIF(Certificate!$G$17:$G$21,"Unit 11 - Graphic Design Briefs")</f>
        <v>0</v>
      </c>
      <c r="EC14" s="14"/>
    </row>
    <row r="15" spans="1:139" ht="14">
      <c r="A15" s="47">
        <f>COUNTIF(Certificate!$G$17:$G$21,"Unit 3 - Communicating Ideas in 2D")</f>
        <v>0</v>
      </c>
      <c r="AK15" s="23" t="s">
        <v>326</v>
      </c>
      <c r="AL15" s="47">
        <f>IF(COUNTIF(Certificate!$G$17:$G$21,AK15)&gt;=1,"",ROW())</f>
        <v>15</v>
      </c>
      <c r="AM15" s="49" t="str">
        <f t="shared" si="5"/>
        <v>Unit 17 - Multimedia Products Development</v>
      </c>
      <c r="AW15" s="14" t="s">
        <v>292</v>
      </c>
      <c r="AX15" s="50">
        <f>IF(COUNTIF(Certificate!$G$23:$G$25,AW15)&gt;=1,"",ROW())</f>
        <v>15</v>
      </c>
      <c r="AY15" s="49" t="str">
        <f t="shared" si="8"/>
        <v>Unit 22 - Realising Prop Design for Performance</v>
      </c>
      <c r="BA15" s="14" t="s">
        <v>292</v>
      </c>
      <c r="BB15" s="50">
        <f>IF(COUNTIF(Certificate!$G$23:$G$25,BA15)&gt;=1,"",ROW())</f>
        <v>15</v>
      </c>
      <c r="BC15" s="49" t="str">
        <f t="shared" si="9"/>
        <v>Unit 22 - Realising Prop Design for Performance</v>
      </c>
      <c r="BM15" s="14"/>
      <c r="BN15" s="50"/>
      <c r="BO15" s="49"/>
    </row>
    <row r="16" spans="1:139" ht="14">
      <c r="E16" s="47">
        <f>Certificate!H27</f>
        <v>0</v>
      </c>
      <c r="AW16" s="14" t="s">
        <v>300</v>
      </c>
      <c r="AX16" s="50">
        <f>IF(COUNTIF(Certificate!$G$23:$G$25,AW16)&gt;=1,"",ROW())</f>
        <v>16</v>
      </c>
      <c r="AY16" s="49" t="str">
        <f t="shared" si="8"/>
        <v>Unit 23 - Realising Mask Design for Performance</v>
      </c>
      <c r="BA16" s="14" t="s">
        <v>300</v>
      </c>
      <c r="BB16" s="50">
        <f>IF(COUNTIF(Certificate!$G$23:$G$25,BA16)&gt;=1,"",ROW())</f>
        <v>16</v>
      </c>
      <c r="BC16" s="49" t="str">
        <f t="shared" si="9"/>
        <v>Unit 23 - Realising Mask Design for Performance</v>
      </c>
      <c r="BM16" s="14"/>
      <c r="BN16" s="50"/>
      <c r="BO16" s="49"/>
    </row>
    <row r="17" spans="1:67" ht="14">
      <c r="A17" s="47" t="s">
        <v>161</v>
      </c>
      <c r="AW17" s="14" t="s">
        <v>307</v>
      </c>
      <c r="AX17" s="50">
        <f>IF(COUNTIF(Certificate!$G$23:$G$25,AW17)&gt;=1,"",ROW())</f>
        <v>17</v>
      </c>
      <c r="AY17" s="49" t="str">
        <f t="shared" si="8"/>
        <v>Unit 24 - Lighting for Performance</v>
      </c>
      <c r="BA17" s="14" t="s">
        <v>307</v>
      </c>
      <c r="BB17" s="50">
        <f>IF(COUNTIF(Certificate!$G$23:$G$25,BA17)&gt;=1,"",ROW())</f>
        <v>17</v>
      </c>
      <c r="BC17" s="49" t="str">
        <f t="shared" si="9"/>
        <v>Unit 24 - Lighting for Performance</v>
      </c>
      <c r="BM17" s="14"/>
      <c r="BN17" s="50"/>
      <c r="BO17" s="49"/>
    </row>
    <row r="18" spans="1:67" ht="14">
      <c r="A18" s="47">
        <f>COUNTIF(Certificate!$G$17:$G$21,"Unit 4 - Communicating Ideas in 3D")</f>
        <v>0</v>
      </c>
      <c r="AW18" s="14" t="s">
        <v>312</v>
      </c>
      <c r="AX18" s="50">
        <f>IF(COUNTIF(Certificate!$G$23:$G$25,AW18)&gt;=1,"",ROW())</f>
        <v>18</v>
      </c>
      <c r="AY18" s="49" t="str">
        <f t="shared" si="8"/>
        <v>Unit 25 - Sound for Performance</v>
      </c>
      <c r="BA18" s="14" t="s">
        <v>312</v>
      </c>
      <c r="BB18" s="50">
        <f>IF(COUNTIF(Certificate!$G$23:$G$25,BA18)&gt;=1,"",ROW())</f>
        <v>18</v>
      </c>
      <c r="BC18" s="49" t="str">
        <f t="shared" si="9"/>
        <v>Unit 25 - Sound for Performance</v>
      </c>
      <c r="BM18" s="14"/>
      <c r="BN18" s="50"/>
      <c r="BO18" s="49"/>
    </row>
    <row r="19" spans="1:67" ht="14">
      <c r="AW19" s="33" t="s">
        <v>327</v>
      </c>
      <c r="AX19" s="50">
        <f>IF(COUNTIF(Certificate!$G$23:$G$25,AW19)&gt;=1,"",ROW())</f>
        <v>19</v>
      </c>
      <c r="AY19" s="49" t="str">
        <f t="shared" si="8"/>
        <v>Unit 26 - Supporting Performance: Stage Management</v>
      </c>
      <c r="BA19" s="33" t="s">
        <v>327</v>
      </c>
      <c r="BB19" s="50">
        <f>IF(COUNTIF(Certificate!$G$23:$G$25,BA19)&gt;=1,"",ROW())</f>
        <v>19</v>
      </c>
      <c r="BC19" s="49" t="str">
        <f t="shared" si="9"/>
        <v>Unit 26 - Supporting Performance: Stage Management</v>
      </c>
      <c r="BM19" s="33"/>
      <c r="BN19" s="50"/>
      <c r="BO19" s="49"/>
    </row>
    <row r="20" spans="1:67" ht="14">
      <c r="A20" s="47" t="s">
        <v>200</v>
      </c>
      <c r="AW20" s="33" t="s">
        <v>328</v>
      </c>
      <c r="AX20" s="50">
        <f>IF(COUNTIF(Certificate!$G$23:$G$25,AW20)&gt;=1,"",ROW())</f>
        <v>20</v>
      </c>
      <c r="AY20" s="49" t="str">
        <f t="shared" si="8"/>
        <v>Unit 27 - Supporting Performance: Front of House</v>
      </c>
      <c r="BA20" s="33" t="s">
        <v>328</v>
      </c>
      <c r="BB20" s="50">
        <f>IF(COUNTIF(Certificate!$G$23:$G$25,BA20)&gt;=1,"",ROW())</f>
        <v>20</v>
      </c>
      <c r="BC20" s="49" t="str">
        <f t="shared" si="9"/>
        <v>Unit 27 - Supporting Performance: Front of House</v>
      </c>
      <c r="BM20" s="33"/>
      <c r="BN20" s="50"/>
      <c r="BO20" s="49"/>
    </row>
    <row r="21" spans="1:67" ht="14">
      <c r="A21" s="47">
        <f>COUNTIF(Certificate!$G$17:$G$21,"Unit 9 - Design Crafts Briefs")</f>
        <v>0</v>
      </c>
      <c r="AW21" s="23" t="s">
        <v>317</v>
      </c>
      <c r="AX21" s="50">
        <f>IF(COUNTIF(Certificate!$G$23:$G$25,AW21)&gt;=1,"",ROW())</f>
        <v>21</v>
      </c>
      <c r="AY21" s="49" t="str">
        <f t="shared" si="8"/>
        <v>Unit 28 - Make-up for Performance</v>
      </c>
      <c r="BA21" s="23" t="s">
        <v>317</v>
      </c>
      <c r="BB21" s="50">
        <f>IF(COUNTIF(Certificate!$G$23:$G$25,BA21)&gt;=1,"",ROW())</f>
        <v>21</v>
      </c>
      <c r="BC21" s="49" t="str">
        <f t="shared" si="9"/>
        <v>Unit 28 - Make-up for Performance</v>
      </c>
      <c r="BM21" s="23"/>
      <c r="BN21" s="50"/>
      <c r="BO21" s="49"/>
    </row>
    <row r="22" spans="1:67" ht="14">
      <c r="AW22" s="23" t="s">
        <v>321</v>
      </c>
      <c r="AX22" s="50">
        <f>IF(COUNTIF(Certificate!$G$23:$G$25,AW22)&gt;=1,"",ROW())</f>
        <v>22</v>
      </c>
      <c r="AY22" s="49" t="str">
        <f t="shared" si="8"/>
        <v>Unit 29 - Wardrobe for Stage Performance</v>
      </c>
      <c r="BA22" s="23" t="s">
        <v>321</v>
      </c>
      <c r="BB22" s="50">
        <f>IF(COUNTIF(Certificate!$G$23:$G$25,BA22)&gt;=1,"",ROW())</f>
        <v>22</v>
      </c>
      <c r="BC22" s="49" t="str">
        <f t="shared" si="9"/>
        <v>Unit 29 - Wardrobe for Stage Performance</v>
      </c>
      <c r="BM22" s="23"/>
      <c r="BN22" s="50"/>
      <c r="BO22" s="49"/>
    </row>
    <row r="23" spans="1:67">
      <c r="A23" s="47" t="s">
        <v>660</v>
      </c>
    </row>
    <row r="24" spans="1:67">
      <c r="A24" s="47">
        <f>COUNTIF(Certificate!$G$17:$G$21,"Unit 11 - Graphic Design Briefs")</f>
        <v>0</v>
      </c>
    </row>
    <row r="26" spans="1:67">
      <c r="A26" s="47" t="s">
        <v>661</v>
      </c>
      <c r="C26" s="47" t="s">
        <v>7</v>
      </c>
    </row>
    <row r="27" spans="1:67">
      <c r="A27" s="47">
        <f>COUNTIF(Certificate!$G$17:$G$21,"Unit 13 - Visual Arts Briefs")</f>
        <v>0</v>
      </c>
      <c r="C27" s="47" t="s">
        <v>4</v>
      </c>
    </row>
    <row r="28" spans="1:67">
      <c r="C28" s="47" t="s">
        <v>2</v>
      </c>
    </row>
    <row r="29" spans="1:67">
      <c r="C29" s="47" t="s">
        <v>5</v>
      </c>
    </row>
    <row r="30" spans="1:67">
      <c r="C30" s="47" t="s">
        <v>6</v>
      </c>
    </row>
    <row r="33" spans="3:3" ht="14">
      <c r="C33" s="16" t="s">
        <v>50</v>
      </c>
    </row>
    <row r="34" spans="3:3" ht="14">
      <c r="C34" s="16" t="s">
        <v>51</v>
      </c>
    </row>
    <row r="35" spans="3:3" ht="14">
      <c r="C35" s="16" t="s">
        <v>129</v>
      </c>
    </row>
    <row r="36" spans="3:3" ht="14">
      <c r="C36" s="16" t="s">
        <v>52</v>
      </c>
    </row>
    <row r="37" spans="3:3" ht="14">
      <c r="C37" s="16" t="s">
        <v>53</v>
      </c>
    </row>
    <row r="38" spans="3:3" ht="14">
      <c r="C38" s="16" t="s">
        <v>54</v>
      </c>
    </row>
    <row r="39" spans="3:3" ht="14">
      <c r="C39" s="16" t="s">
        <v>55</v>
      </c>
    </row>
    <row r="40" spans="3:3" ht="14">
      <c r="C40" s="16" t="s">
        <v>56</v>
      </c>
    </row>
    <row r="41" spans="3:3" ht="14">
      <c r="C41" s="16" t="s">
        <v>12</v>
      </c>
    </row>
    <row r="42" spans="3:3" ht="14">
      <c r="C42" s="16" t="s">
        <v>58</v>
      </c>
    </row>
    <row r="43" spans="3:3" ht="14">
      <c r="C43" s="16" t="s">
        <v>59</v>
      </c>
    </row>
    <row r="44" spans="3:3" ht="14">
      <c r="C44" s="16" t="s">
        <v>60</v>
      </c>
    </row>
  </sheetData>
  <sheetProtection selectLockedCells="1" selectUnlockedCells="1"/>
  <pageMargins left="0.75" right="0.75" top="0.75" bottom="0.75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Z52"/>
  <sheetViews>
    <sheetView showGridLines="0" showRowColHeaders="0" workbookViewId="0">
      <selection activeCell="G5" sqref="G5"/>
    </sheetView>
  </sheetViews>
  <sheetFormatPr baseColWidth="10" defaultColWidth="0" defaultRowHeight="14" zeroHeight="1" x14ac:dyDescent="0"/>
  <cols>
    <col min="1" max="1" width="2.5" customWidth="1"/>
    <col min="2" max="2" width="0.83203125" customWidth="1"/>
    <col min="3" max="3" width="0.6640625" customWidth="1"/>
    <col min="4" max="4" width="1" hidden="1" customWidth="1"/>
    <col min="5" max="5" width="12.33203125" customWidth="1"/>
    <col min="6" max="6" width="13.6640625" customWidth="1"/>
    <col min="7" max="7" width="62.1640625" customWidth="1"/>
    <col min="8" max="8" width="9.33203125" customWidth="1"/>
    <col min="9" max="9" width="11.1640625" customWidth="1"/>
    <col min="10" max="10" width="9.1640625" hidden="1" customWidth="1"/>
    <col min="11" max="11" width="10.5" customWidth="1"/>
    <col min="12" max="12" width="9.1640625" customWidth="1"/>
    <col min="13" max="13" width="18.5" customWidth="1"/>
    <col min="14" max="14" width="0.6640625" customWidth="1"/>
    <col min="15" max="15" width="1.83203125" customWidth="1"/>
    <col min="16" max="26" width="0" hidden="1" customWidth="1"/>
    <col min="27" max="16384" width="9.1640625" hidden="1"/>
  </cols>
  <sheetData>
    <row r="1" spans="1:15">
      <c r="A1" s="10" t="s">
        <v>146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30">
      <c r="A2" s="10" t="s">
        <v>50</v>
      </c>
      <c r="B2" s="3"/>
      <c r="C2" s="3"/>
      <c r="D2" s="3"/>
      <c r="E2" s="3"/>
      <c r="F2" s="3"/>
      <c r="G2" s="73" t="s">
        <v>388</v>
      </c>
      <c r="H2" s="3"/>
      <c r="I2" s="3"/>
      <c r="J2" s="3"/>
      <c r="K2" s="3"/>
      <c r="L2" s="3"/>
      <c r="M2" s="3"/>
      <c r="N2" s="3"/>
      <c r="O2" s="3"/>
    </row>
    <row r="3" spans="1:15" ht="7.5" customHeight="1">
      <c r="A3" s="10" t="s">
        <v>180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ht="7.5" customHeight="1">
      <c r="A4" s="10" t="s">
        <v>181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>
      <c r="A5" s="10" t="s">
        <v>182</v>
      </c>
      <c r="B5" s="3"/>
      <c r="C5" s="3"/>
      <c r="D5" s="3"/>
      <c r="E5" s="90" t="s">
        <v>384</v>
      </c>
      <c r="F5" s="8" t="s">
        <v>153</v>
      </c>
      <c r="G5" s="87"/>
      <c r="H5" s="3"/>
      <c r="I5" s="3"/>
      <c r="J5" s="3"/>
      <c r="K5" s="3"/>
      <c r="L5" s="3"/>
      <c r="M5" s="3"/>
      <c r="N5" s="3"/>
      <c r="O5" s="3"/>
    </row>
    <row r="6" spans="1:15" ht="9.75" customHeight="1">
      <c r="A6" s="10" t="s">
        <v>183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>
      <c r="A7" s="10" t="s">
        <v>184</v>
      </c>
      <c r="B7" s="3"/>
      <c r="C7" s="3"/>
      <c r="D7" s="3"/>
      <c r="E7" s="3"/>
      <c r="F7" s="3"/>
      <c r="G7" s="3"/>
      <c r="H7" s="159" t="s">
        <v>473</v>
      </c>
      <c r="I7" s="160"/>
      <c r="J7" s="3"/>
      <c r="K7" s="3"/>
      <c r="L7" s="16"/>
      <c r="M7" s="16"/>
      <c r="N7" s="16"/>
      <c r="O7" s="16"/>
    </row>
    <row r="8" spans="1:15">
      <c r="A8" s="10" t="s">
        <v>185</v>
      </c>
      <c r="B8" s="35"/>
      <c r="C8" s="35"/>
      <c r="D8" s="3"/>
      <c r="E8" s="3"/>
      <c r="F8" s="65" t="s">
        <v>147</v>
      </c>
      <c r="G8" s="1" t="s">
        <v>377</v>
      </c>
      <c r="H8" s="1" t="s">
        <v>0</v>
      </c>
      <c r="I8" s="1" t="s">
        <v>1</v>
      </c>
      <c r="J8" s="3"/>
      <c r="K8" s="1" t="s">
        <v>3</v>
      </c>
      <c r="L8" s="10"/>
      <c r="M8" s="10"/>
      <c r="N8" s="139" t="s">
        <v>368</v>
      </c>
      <c r="O8" s="16"/>
    </row>
    <row r="9" spans="1:15" ht="15" customHeight="1">
      <c r="A9" s="10" t="s">
        <v>51</v>
      </c>
      <c r="B9" s="35"/>
      <c r="C9" s="35"/>
      <c r="D9" s="3"/>
      <c r="E9" s="8" t="s">
        <v>134</v>
      </c>
      <c r="F9" s="36" t="str">
        <f>IF(ISERROR(VLOOKUP(G9,'Ext Cert Unit Data'!B3:D26,3,FALSE)),"",VLOOKUP(G9,'Ext Cert Unit Data'!B3:D26,3,FALSE))</f>
        <v/>
      </c>
      <c r="G9" s="36" t="str">
        <f>IF(ISERROR(VLOOKUP(G5,'Ext Cert Unit Data'!A3:B26,2,FALSE)),"",VLOOKUP(G5,'Ext Cert Unit Data'!A3:B26,2,FALSE))</f>
        <v/>
      </c>
      <c r="H9" s="37" t="str">
        <f>IF(ISERROR(VLOOKUP(G9,'Ext Cert Unit Data'!B3:D26,2,FALSE)),"",VLOOKUP(G9,'Ext Cert Unit Data'!B3:D26,2,FALSE))</f>
        <v/>
      </c>
      <c r="I9" s="87"/>
      <c r="J9" s="3" t="b">
        <f>IF(I9="U",0,IF(I9="L1",2,IF(I9="P",4,IF(I9="M",6,IF(I9="D",8)))))</f>
        <v>0</v>
      </c>
      <c r="K9" s="77" t="str">
        <f>IF(ISERROR(IF(I9="","",J9*(H9/10))),"",IF(I9="","",J9*(H9/10)))</f>
        <v/>
      </c>
      <c r="L9" s="10"/>
      <c r="M9" s="10" t="e">
        <f>IF(G5="Applied Science",24,K9+K10)</f>
        <v>#VALUE!</v>
      </c>
      <c r="N9" s="10" t="str">
        <f>IF(K9&gt;K10,K9,K10)</f>
        <v/>
      </c>
      <c r="O9" s="16"/>
    </row>
    <row r="10" spans="1:15">
      <c r="A10" s="10" t="s">
        <v>52</v>
      </c>
      <c r="B10" s="35"/>
      <c r="C10" s="35"/>
      <c r="D10" s="3"/>
      <c r="E10" s="109"/>
      <c r="F10" s="36" t="str">
        <f>IF(ISERROR(VLOOKUP(G10,'Ext Cert Unit Data'!G3:I26,3,FALSE)),"",VLOOKUP(G10,'Ext Cert Unit Data'!G3:I26,3,FALSE))</f>
        <v/>
      </c>
      <c r="G10" s="36" t="str">
        <f>IF(ISERROR(VLOOKUP(G5,'Ext Cert Unit Data'!F3:G26,2,FALSE)),"",VLOOKUP(G5,'Ext Cert Unit Data'!F3:G26,2,FALSE))</f>
        <v/>
      </c>
      <c r="H10" s="38" t="str">
        <f>IF(ISERROR(VLOOKUP(G10,'Ext Cert Unit Data'!G3:I26,2,FALSE)),"",VLOOKUP(G10,'Ext Cert Unit Data'!G3:I26,2,FALSE))</f>
        <v/>
      </c>
      <c r="I10" s="87"/>
      <c r="J10" s="3" t="b">
        <f>IF(I10="U",0,IF(I10="L1",2,IF(I10="P",4,IF(I10="M",6,IF(I10="D",8)))))</f>
        <v>0</v>
      </c>
      <c r="K10" s="77" t="str">
        <f>IF(ISERROR(IF(I10="","",J10*(H10/10))),"",IF(I10="","",J10*(H10/10)))</f>
        <v/>
      </c>
      <c r="L10" s="10"/>
      <c r="M10" s="10">
        <f>SUM(K9:K10,K12:K19,K21:K29,K31:K37,K39)</f>
        <v>0</v>
      </c>
      <c r="N10" s="10" t="e">
        <f>N9+K12</f>
        <v>#VALUE!</v>
      </c>
      <c r="O10" s="16"/>
    </row>
    <row r="11" spans="1:15">
      <c r="A11" s="10" t="s">
        <v>53</v>
      </c>
      <c r="B11" s="35"/>
      <c r="C11" s="35"/>
      <c r="D11" s="3"/>
      <c r="E11" s="39"/>
      <c r="F11" s="35"/>
      <c r="G11" s="35"/>
      <c r="H11" s="40"/>
      <c r="I11" s="67"/>
      <c r="J11" s="3"/>
      <c r="K11" s="79"/>
      <c r="L11" s="10"/>
      <c r="M11" s="10" t="e">
        <f>IF(AND(M9&lt;12),"U",IF(AND(M9&lt;24,M9&gt;11,M10&lt;47),"U",IF(AND(M9&lt;24,M9&gt;11,M10&gt;47),"Level 1",IF(AND(M9&gt;23),M10))))</f>
        <v>#VALUE!</v>
      </c>
      <c r="N11" s="10" t="e">
        <f>IF(AND(N10&lt;12),"U",IF(AND(N10&lt;24,N10&gt;11,M10&gt;47),"Level 1",IF(AND(N10&lt;24,N10&gt;11,M10&lt;47),"U",IF(AND(N10&gt;23),M10))))</f>
        <v>#VALUE!</v>
      </c>
      <c r="O11" s="16"/>
    </row>
    <row r="12" spans="1:15" ht="15" customHeight="1">
      <c r="A12" s="10" t="s">
        <v>54</v>
      </c>
      <c r="B12" s="35"/>
      <c r="C12" s="35"/>
      <c r="D12" s="3"/>
      <c r="E12" s="8" t="str">
        <f>IF(G5="Information and Creative Technology","Core","Mandatory")</f>
        <v>Mandatory</v>
      </c>
      <c r="F12" s="36" t="str">
        <f>IF(ISERROR(VLOOKUP(G12,'Ext Cert Unit Data'!Q3:S27,3,FALSE)),"",VLOOKUP(G12,'Ext Cert Unit Data'!Q3:S27,3,FALSE))</f>
        <v/>
      </c>
      <c r="G12" s="36" t="str">
        <f>IF(ISERROR(VLOOKUP(G5,'Ext Cert Unit Data'!P3:Q27,2,FALSE)),"",VLOOKUP(G5,'Ext Cert Unit Data'!P3:Q27,2,FALSE))</f>
        <v/>
      </c>
      <c r="H12" s="38" t="str">
        <f>IF(ISERROR(VLOOKUP(G12,'Ext Cert Unit Data'!Q3:R27,2,FALSE)),"",VLOOKUP(G12,'Ext Cert Unit Data'!Q3:R27,2,FALSE))</f>
        <v/>
      </c>
      <c r="I12" s="87"/>
      <c r="J12" s="3" t="b">
        <f>IF(I12="U",0,IF(I12="L1",2,IF(I12="P",4,IF(I12="M",6,IF(I12="D",8)))))</f>
        <v>0</v>
      </c>
      <c r="K12" s="78" t="str">
        <f>IF(ISERROR(IF(I12="","",J12*(H12/10))),"",IF(I12="","",J12*(H12/10)))</f>
        <v/>
      </c>
      <c r="L12" s="10"/>
      <c r="M12" s="10" t="str">
        <f>IF(ISERROR(IF(M11="U","U",IF(M11="Level 1","Level 1",VLOOKUP(M11,'Sheet1 (2)'!G2:H302,2,FALSE)))),"",IF(M11="U","U",IF(M11="Level 1","Level 1",VLOOKUP(M11,'Sheet1 (2)'!G2:H302,2,FALSE))))</f>
        <v/>
      </c>
      <c r="N12" s="10" t="str">
        <f>IF(ISERROR(IF(N11="U","U",IF(N11="Level 1","Level 1",VLOOKUP(N11,'Sheet1 (2)'!G2:H302,2,FALSE)))),"",IF(N11="U","U",IF(N11="Level 1","Level 1",VLOOKUP(N11,'Sheet1 (2)'!G2:H302,2,FALSE))))</f>
        <v/>
      </c>
      <c r="O12" s="16"/>
    </row>
    <row r="13" spans="1:15">
      <c r="A13" s="31" t="s">
        <v>55</v>
      </c>
      <c r="B13" s="35"/>
      <c r="C13" s="35"/>
      <c r="D13" s="3"/>
      <c r="E13" s="106"/>
      <c r="F13" s="36" t="str">
        <f>IF(ISERROR(VLOOKUP(G13,'Ext Cert Unit Data'!Q30:S53,3,FALSE)),"",VLOOKUP(G13,'Ext Cert Unit Data'!Q30:S53,3,FALSE))</f>
        <v/>
      </c>
      <c r="G13" s="36" t="str">
        <f>IF(ISERROR(VLOOKUP(G5,'Ext Cert Unit Data'!P31:Q53,2,FALSE)),"",VLOOKUP(G5,'Ext Cert Unit Data'!P31:Q53,2,FALSE))</f>
        <v/>
      </c>
      <c r="H13" s="38" t="str">
        <f>IF(ISERROR(VLOOKUP(G13,'Ext Cert Unit Data'!Q30:R53,2,FALSE)),"",VLOOKUP(G13,'Ext Cert Unit Data'!Q30:R53,2,FALSE))</f>
        <v/>
      </c>
      <c r="I13" s="87"/>
      <c r="J13" s="3" t="b">
        <f>IF(I13="U",0,IF(I13="L1",2,IF(I13="P",4,IF(I13="M",6,IF(I13="D",8)))))</f>
        <v>0</v>
      </c>
      <c r="K13" s="76" t="str">
        <f>IF(ISERROR(IF(I13="","",J13*(H13/10))),"",IF(I13="","",J13*(H13/10)))</f>
        <v/>
      </c>
      <c r="L13" s="10"/>
      <c r="M13" s="10"/>
      <c r="N13" s="10"/>
      <c r="O13" s="16"/>
    </row>
    <row r="14" spans="1:15">
      <c r="A14" s="31" t="s">
        <v>56</v>
      </c>
      <c r="B14" s="35"/>
      <c r="C14" s="35"/>
      <c r="D14" s="3"/>
      <c r="E14" s="26"/>
      <c r="F14" s="36" t="str">
        <f>IF(ISERROR(VLOOKUP(G14,'Ext Cert Unit Data'!Q53:S86,3,FALSE)),"",VLOOKUP(G14,'Ext Cert Unit Data'!Q53:S86,3,FALSE))</f>
        <v/>
      </c>
      <c r="G14" s="36" t="str">
        <f>IF(ISERROR(VLOOKUP(G5,'Ext Cert Unit Data'!P56:Q86,2,FALSE)),"",VLOOKUP(G5,'Ext Cert Unit Data'!P56:Q86,2,FALSE))</f>
        <v/>
      </c>
      <c r="H14" s="38" t="str">
        <f>IF(ISERROR(VLOOKUP(G14,'Ext Cert Unit Data'!Q53:R86,2,FALSE)),"",VLOOKUP(G14,'Ext Cert Unit Data'!Q53:R86,2,FALSE))</f>
        <v/>
      </c>
      <c r="I14" s="87"/>
      <c r="J14" s="3" t="b">
        <f>IF(I14="U",0,IF(I14="L1",2,IF(I14="P",4,IF(I14="M",6,IF(I14="D",8)))))</f>
        <v>0</v>
      </c>
      <c r="K14" s="76" t="str">
        <f>IF(ISERROR(IF(I14="","",J14*(H14/10))),"",IF(I14="","",J14*(H14/10)))</f>
        <v/>
      </c>
      <c r="L14" s="10"/>
      <c r="M14" s="10"/>
      <c r="N14" s="10"/>
      <c r="O14" s="16"/>
    </row>
    <row r="15" spans="1:15">
      <c r="A15" s="31" t="s">
        <v>57</v>
      </c>
      <c r="B15" s="35"/>
      <c r="C15" s="35"/>
      <c r="D15" s="3"/>
      <c r="E15" s="26"/>
      <c r="F15" s="36" t="str">
        <f>IF(ISERROR(VLOOKUP(G15,'Ext Cert Unit Data'!Q94:S115,3,FALSE)),"",VLOOKUP(G15,'Ext Cert Unit Data'!Q94:S115,3,FALSE))</f>
        <v/>
      </c>
      <c r="G15" s="36" t="str">
        <f>IF(ISERROR(VLOOKUP(G5,'Ext Cert Unit Data'!P93:Q115,2,FALSE)),"",VLOOKUP(G5,'Ext Cert Unit Data'!P93:Q115,2,FALSE))</f>
        <v/>
      </c>
      <c r="H15" s="38" t="str">
        <f>IF(ISERROR(VLOOKUP(G15,'Ext Cert Unit Data'!Q94:R115,2,FALSE)),"",VLOOKUP(G15,'Ext Cert Unit Data'!Q94:R115,2,FALSE))</f>
        <v/>
      </c>
      <c r="I15" s="89"/>
      <c r="J15" s="3" t="b">
        <f t="shared" ref="J15:J17" si="0">IF(I15="U",0,IF(I15="L1",2,IF(I15="P",4,IF(I15="M",6,IF(I15="D",8)))))</f>
        <v>0</v>
      </c>
      <c r="K15" s="76" t="str">
        <f>IF(ISERROR(IF(I15="","",J15*(H15/10))),"",IF(I15="","",J15*(H15/10)))</f>
        <v/>
      </c>
      <c r="L15" s="10"/>
      <c r="M15" s="10"/>
      <c r="N15" s="10"/>
      <c r="O15" s="16"/>
    </row>
    <row r="16" spans="1:15">
      <c r="A16" s="31" t="s">
        <v>12</v>
      </c>
      <c r="B16" s="35"/>
      <c r="C16" s="35"/>
      <c r="D16" s="3"/>
      <c r="E16" s="26"/>
      <c r="F16" s="36" t="str">
        <f>IF(ISERROR(VLOOKUP(G16,'Ext Cert Unit Data'!Q117:S117,3,FALSE)),"",VLOOKUP(G16,'Ext Cert Unit Data'!Q117:S117,3,FALSE))</f>
        <v/>
      </c>
      <c r="G16" s="36" t="str">
        <f>IF(ISERROR(VLOOKUP(G5,'Ext Cert Unit Data'!P117:Q117,2,FALSE)),"",VLOOKUP(G5,'Ext Cert Unit Data'!P117:Q117,2,FALSE))</f>
        <v/>
      </c>
      <c r="H16" s="38" t="str">
        <f>IF(ISERROR(VLOOKUP(G16,'Ext Cert Unit Data'!Q117:R117,2,FALSE)),"",VLOOKUP(G16,'Ext Cert Unit Data'!Q117:R117,2,FALSE))</f>
        <v/>
      </c>
      <c r="I16" s="89"/>
      <c r="J16" s="3" t="b">
        <f t="shared" si="0"/>
        <v>0</v>
      </c>
      <c r="K16" s="76" t="str">
        <f t="shared" ref="K16" si="1">IF(ISERROR(IF(I16="","",J16*(H16/10))),"",IF(I16="","",J16*(H16/10)))</f>
        <v/>
      </c>
      <c r="L16" s="10"/>
      <c r="M16" s="10"/>
      <c r="N16" s="10"/>
      <c r="O16" s="16"/>
    </row>
    <row r="17" spans="1:15">
      <c r="A17" s="31" t="s">
        <v>58</v>
      </c>
      <c r="B17" s="35"/>
      <c r="C17" s="35"/>
      <c r="D17" s="3"/>
      <c r="E17" s="26"/>
      <c r="F17" s="36" t="str">
        <f>IF(ISERROR(VLOOKUP(G17,'Ext Cert Unit Data'!Q125:S125,3,FALSE)),"",VLOOKUP(G17,'Ext Cert Unit Data'!Q125:S125,3,FALSE))</f>
        <v/>
      </c>
      <c r="G17" s="36" t="str">
        <f>IF(ISERROR(VLOOKUP(G5,'Ext Cert Unit Data'!P125:Q125,2,FALSE)),"",VLOOKUP(G5,'Ext Cert Unit Data'!P125:Q125,2,FALSE))</f>
        <v/>
      </c>
      <c r="H17" s="38" t="str">
        <f>IF(ISERROR(VLOOKUP(G17,'Ext Cert Unit Data'!Q125:R125,2,FALSE)),"",VLOOKUP(G17,'Ext Cert Unit Data'!Q125:R125,2,FALSE))</f>
        <v/>
      </c>
      <c r="I17" s="89"/>
      <c r="J17" s="3" t="b">
        <f t="shared" si="0"/>
        <v>0</v>
      </c>
      <c r="K17" s="76" t="str">
        <f>IF(ISERROR(IF(I17="","",J17*(H17/10))),"",IF(I17="","",J17*(H17/10)))</f>
        <v/>
      </c>
      <c r="L17" s="10"/>
      <c r="M17" s="10"/>
      <c r="N17" s="10"/>
      <c r="O17" s="16"/>
    </row>
    <row r="18" spans="1:15">
      <c r="A18" s="31" t="s">
        <v>186</v>
      </c>
      <c r="B18" s="35"/>
      <c r="C18" s="35"/>
      <c r="D18" s="3"/>
      <c r="E18" s="26"/>
      <c r="F18" s="36" t="str">
        <f>IF(ISERROR(VLOOKUP(G18,'Ext Cert Unit Data'!Q128:S128,3,FALSE)),"",VLOOKUP(G18,'Ext Cert Unit Data'!Q128:S128,3,FALSE))</f>
        <v/>
      </c>
      <c r="G18" s="36" t="str">
        <f>IF(ISERROR(VLOOKUP(G5,'Ext Cert Unit Data'!P128:Q128,2,FALSE)),"",VLOOKUP(G5,'Ext Cert Unit Data'!P128:Q128,2,FALSE))</f>
        <v/>
      </c>
      <c r="H18" s="38" t="str">
        <f>IF(ISERROR(VLOOKUP(G18,'Ext Cert Unit Data'!Q128:R128,2,FALSE)),"",VLOOKUP(G18,'Ext Cert Unit Data'!Q128:R128,2,FALSE))</f>
        <v/>
      </c>
      <c r="I18" s="89"/>
      <c r="J18" s="3" t="b">
        <f>IF(I18="U",0,IF(I18="L1",2,IF(I18="P",4,IF(I18="M",6,IF(I18="D",8)))))</f>
        <v>0</v>
      </c>
      <c r="K18" s="76" t="str">
        <f>IF(ISERROR(IF(I18="","",J18*(H18/10))),"",IF(I18="","",J18*(H18/10)))</f>
        <v/>
      </c>
      <c r="L18" s="10"/>
      <c r="M18" s="10"/>
      <c r="N18" s="10"/>
      <c r="O18" s="16"/>
    </row>
    <row r="19" spans="1:15">
      <c r="A19" s="31" t="s">
        <v>187</v>
      </c>
      <c r="B19" s="35"/>
      <c r="C19" s="35"/>
      <c r="D19" s="3"/>
      <c r="E19" s="26"/>
      <c r="F19" s="36" t="str">
        <f>IF(ISERROR(VLOOKUP(G19,'Ext Cert Unit Data'!Q130:S130,3,FALSE)),"",VLOOKUP(G19,'Ext Cert Unit Data'!Q130:S130,3,FALSE))</f>
        <v/>
      </c>
      <c r="G19" s="36" t="str">
        <f>IF(ISERROR(VLOOKUP(G5,'Ext Cert Unit Data'!P130:Q130,2,FALSE)),"",VLOOKUP(G5,'Ext Cert Unit Data'!P130:Q130,2,FALSE))</f>
        <v/>
      </c>
      <c r="H19" s="38" t="str">
        <f>IF(ISERROR(VLOOKUP(G19,'Ext Cert Unit Data'!Q130:R130,2,FALSE)),"",VLOOKUP(G19,'Ext Cert Unit Data'!Q130:R130,2,FALSE))</f>
        <v/>
      </c>
      <c r="I19" s="89"/>
      <c r="J19" s="3" t="b">
        <f>IF(I14="U",0,IF(I14="L1",2,IF(I14="P",4,IF(I14="M",6,IF(I14="D",8)))))</f>
        <v>0</v>
      </c>
      <c r="K19" s="76" t="str">
        <f>IF(ISERROR(IF(I19="","",J19*(H19/10))),"",IF(I19="","",J19*(H19/10)))</f>
        <v/>
      </c>
      <c r="L19" s="10"/>
      <c r="M19" s="10"/>
      <c r="N19" s="10"/>
      <c r="O19" s="16"/>
    </row>
    <row r="20" spans="1:15">
      <c r="A20" s="31" t="s">
        <v>189</v>
      </c>
      <c r="B20" s="3"/>
      <c r="C20" s="3"/>
      <c r="D20" s="3"/>
      <c r="E20" s="4"/>
      <c r="F20" s="3"/>
      <c r="G20" s="3"/>
      <c r="H20" s="3"/>
      <c r="I20" s="71"/>
      <c r="J20" s="3"/>
      <c r="K20" s="79"/>
      <c r="L20" s="10"/>
      <c r="M20" s="83"/>
      <c r="N20" s="10"/>
      <c r="O20" s="16"/>
    </row>
    <row r="21" spans="1:15" ht="15" customHeight="1">
      <c r="A21" s="31" t="s">
        <v>168</v>
      </c>
      <c r="B21" s="3"/>
      <c r="C21" s="3"/>
      <c r="D21" s="3"/>
      <c r="E21" s="62" t="str">
        <f>IF(OR(G5="Creative Digital Media Production",G5="Hospitality",G5="Music",G5="Performing Arts Acting",G5="Performing Arts Dance",G5="Performing Arts Musical Theatre",G5="Performing Arts Production",G5=""),"Optional A", "Optional")</f>
        <v>Optional A</v>
      </c>
      <c r="F21" s="36" t="str">
        <f>IF(ISERROR(VLOOKUP(G21,'Ext Cert Unit Data'!$V$3:$X$242,3,FALSE)),"",VLOOKUP(G21,'Ext Cert Unit Data'!$V$3:$X$242,3,FALSE))</f>
        <v/>
      </c>
      <c r="G21" s="88"/>
      <c r="H21" s="38" t="str">
        <f>IF(ISERROR(VLOOKUP(G21,'Ext Cert Unit Data'!$V$3:$W$242,2,FALSE)),"",VLOOKUP(G21,'Ext Cert Unit Data'!$V$3:$W$242,2,FALSE))</f>
        <v/>
      </c>
      <c r="I21" s="87"/>
      <c r="J21" s="3" t="b">
        <f>IF(I21="U",0,IF(I21="L1",2,IF(I21="P",4,IF(I21="M",6,IF(I21="D",8)))))</f>
        <v>0</v>
      </c>
      <c r="K21" s="78" t="str">
        <f>IF(ISERROR(IF(I21="","",J21*(H21/10))),"",IF(I21="","",J21*(H21/10)))</f>
        <v/>
      </c>
      <c r="L21" s="10"/>
      <c r="M21" s="10"/>
      <c r="N21" s="10"/>
      <c r="O21" s="16"/>
    </row>
    <row r="22" spans="1:15">
      <c r="A22" s="31" t="s">
        <v>59</v>
      </c>
      <c r="B22" s="3"/>
      <c r="C22" s="3"/>
      <c r="D22" s="3"/>
      <c r="E22" s="107"/>
      <c r="F22" s="36" t="str">
        <f>IF(ISERROR(VLOOKUP(G22,'Ext Cert Unit Data'!$V$3:$X$242,3,FALSE)),"",VLOOKUP(G22,'Ext Cert Unit Data'!$V$3:$X$242,3,FALSE))</f>
        <v/>
      </c>
      <c r="G22" s="88"/>
      <c r="H22" s="38" t="str">
        <f>IF(ISERROR(VLOOKUP(G22,'Ext Cert Unit Data'!$V$3:$W$242,2,FALSE)),"",VLOOKUP(G22,'Ext Cert Unit Data'!$V$3:$W$242,2,FALSE))</f>
        <v/>
      </c>
      <c r="I22" s="87"/>
      <c r="J22" s="3" t="b">
        <f>IF(I22="U",0,IF(I22="L1",2,IF(I22="P",4,IF(I22="M",6,IF(I22="D",8)))))</f>
        <v>0</v>
      </c>
      <c r="K22" s="76" t="str">
        <f>IF(ISERROR(IF(I22="","",J22*(H22/10))),"",IF(I22="","",J22*(H22/10)))</f>
        <v/>
      </c>
      <c r="L22" s="10"/>
      <c r="M22" s="83">
        <f>IF(G49&lt;&gt;"",2,1)</f>
        <v>1</v>
      </c>
      <c r="N22" s="10"/>
      <c r="O22" s="137"/>
    </row>
    <row r="23" spans="1:15">
      <c r="A23" s="31" t="s">
        <v>60</v>
      </c>
      <c r="B23" s="3"/>
      <c r="C23" s="3"/>
      <c r="D23" s="3"/>
      <c r="E23" s="107"/>
      <c r="F23" s="36" t="str">
        <f>IF(ISERROR(VLOOKUP(G23,'Ext Cert Unit Data'!$V$3:$X$242,3,FALSE)),"",VLOOKUP(G23,'Ext Cert Unit Data'!$V$3:$X$242,3,FALSE))</f>
        <v/>
      </c>
      <c r="G23" s="88"/>
      <c r="H23" s="38" t="str">
        <f>IF(ISERROR(VLOOKUP(G23,'Ext Cert Unit Data'!$V$3:$W$242,2,FALSE)),"",VLOOKUP(G23,'Ext Cert Unit Data'!$V$3:$W$242,2,FALSE))</f>
        <v/>
      </c>
      <c r="I23" s="87"/>
      <c r="J23" s="3" t="b">
        <f>IF(I23="U",0,IF(I23="L1",2,IF(I23="P",4,IF(I23="M",6,IF(I23="D",8)))))</f>
        <v>0</v>
      </c>
      <c r="K23" s="76" t="str">
        <f>IF(ISERROR(IF(I23="","",J23*(H23/10))),"",IF(I23="","",J23*(H23/10)))</f>
        <v/>
      </c>
      <c r="L23" s="16"/>
      <c r="M23" s="16"/>
      <c r="N23" s="16"/>
      <c r="O23" s="16"/>
    </row>
    <row r="24" spans="1:15">
      <c r="A24" s="4"/>
      <c r="B24" s="4"/>
      <c r="C24" s="3"/>
      <c r="D24" s="3"/>
      <c r="E24" s="110"/>
      <c r="F24" s="108" t="str">
        <f>IF(ISERROR(VLOOKUP(G24,'Ext Cert Unit Data'!$V$3:$X$242,3,FALSE)),"",VLOOKUP(G24,'Ext Cert Unit Data'!$V$3:$X$242,3,FALSE))</f>
        <v/>
      </c>
      <c r="G24" s="88"/>
      <c r="H24" s="38" t="str">
        <f>IF(ISERROR(VLOOKUP(G24,'Ext Cert Unit Data'!$V$3:$W$242,2,FALSE)),"",VLOOKUP(G24,'Ext Cert Unit Data'!$V$3:$W$242,2,FALSE))</f>
        <v/>
      </c>
      <c r="I24" s="87"/>
      <c r="J24" s="3" t="b">
        <f>IF(I24="U",0,IF(I24="L1",2,IF(I24="P",4,IF(I24="M",6,IF(I24="D",8)))))</f>
        <v>0</v>
      </c>
      <c r="K24" s="76" t="str">
        <f>IF(ISERROR(IF(I24="","",J24*(H24/10))),"",IF(I24="","",J24*(H24/10)))</f>
        <v/>
      </c>
      <c r="L24" s="16"/>
      <c r="M24" s="16"/>
      <c r="N24" s="16"/>
      <c r="O24" s="16"/>
    </row>
    <row r="25" spans="1:15">
      <c r="A25" s="111"/>
      <c r="B25" s="4"/>
      <c r="C25" s="4"/>
      <c r="D25" s="3"/>
      <c r="E25" s="110"/>
      <c r="F25" s="108" t="str">
        <f>IF(ISERROR(VLOOKUP(G25,'Ext Cert Unit Data'!$V$3:$X$242,3,FALSE)),"",VLOOKUP(G25,'Ext Cert Unit Data'!$V$3:$X$242,3,FALSE))</f>
        <v/>
      </c>
      <c r="G25" s="88"/>
      <c r="H25" s="38" t="str">
        <f>IF(ISERROR(VLOOKUP(G25,'Ext Cert Unit Data'!$V$3:$W$242,2,FALSE)),"",VLOOKUP(G25,'Ext Cert Unit Data'!$V$3:$W$242,2,FALSE))</f>
        <v/>
      </c>
      <c r="I25" s="87"/>
      <c r="J25" s="3" t="b">
        <f t="shared" ref="J25:J29" si="2">IF(I25="U",0,IF(I25="L1",2,IF(I25="P",4,IF(I25="M",6,IF(I25="D",8)))))</f>
        <v>0</v>
      </c>
      <c r="K25" s="76" t="str">
        <f>IF(ISERROR(IF(I25="","",J25*(H25/10))),"",IF(I25="","",J25*(H25/10)))</f>
        <v/>
      </c>
      <c r="L25" s="16"/>
      <c r="M25" s="16"/>
      <c r="N25" s="16"/>
      <c r="O25" s="16"/>
    </row>
    <row r="26" spans="1:15">
      <c r="A26" s="4"/>
      <c r="B26" s="4"/>
      <c r="C26" s="4"/>
      <c r="D26" s="3"/>
      <c r="E26" s="58"/>
      <c r="F26" s="36" t="str">
        <f>IF(ISERROR(VLOOKUP(G26,'Ext Cert Unit Data'!$V$3:$X$242,3,FALSE)),"",VLOOKUP(G26,'Ext Cert Unit Data'!$V$3:$X$242,3,FALSE))</f>
        <v/>
      </c>
      <c r="G26" s="88"/>
      <c r="H26" s="38" t="str">
        <f>IF(ISERROR(VLOOKUP(G26,'Ext Cert Unit Data'!$V$3:$W$242,2,FALSE)),"",VLOOKUP(G26,'Ext Cert Unit Data'!$V$3:$W$242,2,FALSE))</f>
        <v/>
      </c>
      <c r="I26" s="87"/>
      <c r="J26" s="3" t="b">
        <f t="shared" si="2"/>
        <v>0</v>
      </c>
      <c r="K26" s="76" t="str">
        <f t="shared" ref="K26:K29" si="3">IF(ISERROR(IF(I26="","",J26*(H26/10))),"",IF(I26="","",J26*(H26/10)))</f>
        <v/>
      </c>
      <c r="L26" s="16"/>
      <c r="M26" s="16"/>
      <c r="N26" s="16"/>
      <c r="O26" s="16"/>
    </row>
    <row r="27" spans="1:15">
      <c r="A27" s="4"/>
      <c r="B27" s="4"/>
      <c r="C27" s="3"/>
      <c r="D27" s="3"/>
      <c r="E27" s="58"/>
      <c r="F27" s="36" t="str">
        <f>IF(ISERROR(VLOOKUP(G27,'Ext Cert Unit Data'!$V$3:$X$242,3,FALSE)),"",VLOOKUP(G27,'Ext Cert Unit Data'!$V$3:$X$242,3,FALSE))</f>
        <v/>
      </c>
      <c r="G27" s="88"/>
      <c r="H27" s="38" t="str">
        <f>IF(ISERROR(VLOOKUP(G27,'Ext Cert Unit Data'!$V$3:$W$242,2,FALSE)),"",VLOOKUP(G27,'Ext Cert Unit Data'!$V$3:$W$242,2,FALSE))</f>
        <v/>
      </c>
      <c r="I27" s="87"/>
      <c r="J27" s="3" t="b">
        <f t="shared" si="2"/>
        <v>0</v>
      </c>
      <c r="K27" s="76" t="str">
        <f t="shared" si="3"/>
        <v/>
      </c>
      <c r="L27" s="16"/>
      <c r="M27" s="16"/>
      <c r="N27" s="16"/>
      <c r="O27" s="16"/>
    </row>
    <row r="28" spans="1:15">
      <c r="A28" s="4"/>
      <c r="B28" s="4"/>
      <c r="C28" s="3"/>
      <c r="D28" s="3"/>
      <c r="E28" s="58"/>
      <c r="F28" s="36" t="str">
        <f>IF(ISERROR(VLOOKUP(G28,'Ext Cert Unit Data'!$V$3:$X$242,3,FALSE)),"",VLOOKUP(G28,'Ext Cert Unit Data'!$V$3:$X$242,3,FALSE))</f>
        <v/>
      </c>
      <c r="G28" s="88"/>
      <c r="H28" s="38" t="str">
        <f>IF(ISERROR(VLOOKUP(G28,'Ext Cert Unit Data'!$V$3:$W$242,2,FALSE)),"",VLOOKUP(G28,'Ext Cert Unit Data'!$V$3:$W$242,2,FALSE))</f>
        <v/>
      </c>
      <c r="I28" s="87"/>
      <c r="J28" s="3" t="b">
        <f t="shared" si="2"/>
        <v>0</v>
      </c>
      <c r="K28" s="76" t="str">
        <f t="shared" si="3"/>
        <v/>
      </c>
      <c r="L28" s="16"/>
      <c r="M28" s="16"/>
      <c r="N28" s="16"/>
      <c r="O28" s="16"/>
    </row>
    <row r="29" spans="1:15">
      <c r="A29" s="4"/>
      <c r="B29" s="4"/>
      <c r="C29" s="3"/>
      <c r="D29" s="3"/>
      <c r="E29" s="58"/>
      <c r="F29" s="36" t="str">
        <f>IF(ISERROR(VLOOKUP(G29,'Ext Cert Unit Data'!$V$3:$X$242,3,FALSE)),"",VLOOKUP(G29,'Ext Cert Unit Data'!$V$3:$X$242,3,FALSE))</f>
        <v/>
      </c>
      <c r="G29" s="88"/>
      <c r="H29" s="38" t="str">
        <f>IF(ISERROR(VLOOKUP(G29,'Ext Cert Unit Data'!$V$3:$W$242,2,FALSE)),"",VLOOKUP(G29,'Ext Cert Unit Data'!$V$3:$W$242,2,FALSE))</f>
        <v/>
      </c>
      <c r="I29" s="87"/>
      <c r="J29" s="3" t="b">
        <f t="shared" si="2"/>
        <v>0</v>
      </c>
      <c r="K29" s="76" t="str">
        <f t="shared" si="3"/>
        <v/>
      </c>
      <c r="L29" s="3"/>
      <c r="M29" s="3"/>
      <c r="N29" s="3"/>
      <c r="O29" s="3"/>
    </row>
    <row r="30" spans="1:15">
      <c r="A30" s="4"/>
      <c r="B30" s="4"/>
      <c r="C30" s="3"/>
      <c r="D30" s="3"/>
      <c r="E30" s="4"/>
      <c r="F30" s="3"/>
      <c r="G30" s="3"/>
      <c r="H30" s="3"/>
      <c r="I30" s="71"/>
      <c r="J30" s="3"/>
      <c r="K30" s="79"/>
      <c r="L30" s="3"/>
      <c r="M30" s="3"/>
      <c r="N30" s="3"/>
      <c r="O30" s="3"/>
    </row>
    <row r="31" spans="1:15" ht="15" customHeight="1">
      <c r="A31" s="4"/>
      <c r="B31" s="4"/>
      <c r="C31" s="3"/>
      <c r="D31" s="3"/>
      <c r="E31" s="62" t="s">
        <v>178</v>
      </c>
      <c r="F31" s="36" t="str">
        <f>IF(ISERROR(VLOOKUP(G31,'Ext Cert Unit Data'!$V$3:$X$242,3,FALSE)),"",VLOOKUP(G31,'Ext Cert Unit Data'!$V$3:$X$242,3,FALSE))</f>
        <v/>
      </c>
      <c r="G31" s="88"/>
      <c r="H31" s="38" t="str">
        <f>IF(ISERROR(VLOOKUP(G31,'Ext Cert Unit Data'!$V$3:$X$242,2,FALSE)),"",VLOOKUP(G31,'Ext Cert Unit Data'!$V$3:$X$242,2,FALSE))</f>
        <v/>
      </c>
      <c r="I31" s="87"/>
      <c r="J31" s="3" t="b">
        <f t="shared" ref="J31:J37" si="4">IF(I31="U",0,IF(I31="L1",2,IF(I31="P",4,IF(I31="M",6,IF(I31="D",8)))))</f>
        <v>0</v>
      </c>
      <c r="K31" s="78" t="str">
        <f t="shared" ref="K31:K37" si="5">IF(ISERROR(IF(I31="","",J31*(H31/10))),"",IF(I31="","",J31*(H31/10)))</f>
        <v/>
      </c>
      <c r="L31" s="3"/>
      <c r="M31" s="3"/>
      <c r="N31" s="3"/>
      <c r="O31" s="3"/>
    </row>
    <row r="32" spans="1:15">
      <c r="A32" s="4"/>
      <c r="B32" s="4"/>
      <c r="C32" s="3"/>
      <c r="D32" s="3"/>
      <c r="E32" s="59"/>
      <c r="F32" s="36" t="str">
        <f>IF(ISERROR(VLOOKUP(G32,'Ext Cert Unit Data'!$V$3:$X$242,3,FALSE)),"",VLOOKUP(G32,'Ext Cert Unit Data'!$V$3:$X$242,3,FALSE))</f>
        <v/>
      </c>
      <c r="G32" s="88"/>
      <c r="H32" s="38" t="str">
        <f>IF(ISERROR(VLOOKUP(G32,'Ext Cert Unit Data'!$V$3:$X$242,2,FALSE)),"",VLOOKUP(G32,'Ext Cert Unit Data'!$V$3:$X$242,2,FALSE))</f>
        <v/>
      </c>
      <c r="I32" s="87"/>
      <c r="J32" s="3" t="b">
        <f t="shared" si="4"/>
        <v>0</v>
      </c>
      <c r="K32" s="37" t="str">
        <f t="shared" si="5"/>
        <v/>
      </c>
      <c r="L32" s="3"/>
      <c r="M32" s="3"/>
      <c r="N32" s="3"/>
      <c r="O32" s="3"/>
    </row>
    <row r="33" spans="1:15">
      <c r="A33" s="4"/>
      <c r="B33" s="4"/>
      <c r="C33" s="3"/>
      <c r="D33" s="3"/>
      <c r="E33" s="59"/>
      <c r="F33" s="36" t="str">
        <f>IF(ISERROR(VLOOKUP(G33,'Ext Cert Unit Data'!$V$3:$X$242,3,FALSE)),"",VLOOKUP(G33,'Ext Cert Unit Data'!$V$3:$X$242,3,FALSE))</f>
        <v/>
      </c>
      <c r="G33" s="88"/>
      <c r="H33" s="38" t="str">
        <f>IF(ISERROR(VLOOKUP(G33,'Ext Cert Unit Data'!$V$3:$X$242,2,FALSE)),"",VLOOKUP(G33,'Ext Cert Unit Data'!$V$3:$X$242,2,FALSE))</f>
        <v/>
      </c>
      <c r="I33" s="87"/>
      <c r="J33" s="3" t="b">
        <f t="shared" si="4"/>
        <v>0</v>
      </c>
      <c r="K33" s="37" t="str">
        <f t="shared" si="5"/>
        <v/>
      </c>
      <c r="L33" s="3"/>
      <c r="M33" s="3"/>
      <c r="N33" s="3"/>
      <c r="O33" s="3"/>
    </row>
    <row r="34" spans="1:15">
      <c r="A34" s="4"/>
      <c r="B34" s="4"/>
      <c r="C34" s="3"/>
      <c r="D34" s="3"/>
      <c r="E34" s="58"/>
      <c r="F34" s="36" t="str">
        <f>IF(ISERROR(VLOOKUP(G34,'Ext Cert Unit Data'!$V$3:$X$242,3,FALSE)),"",VLOOKUP(G34,'Ext Cert Unit Data'!$V$3:$X$242,3,FALSE))</f>
        <v/>
      </c>
      <c r="G34" s="88"/>
      <c r="H34" s="38" t="str">
        <f>IF(ISERROR(VLOOKUP(G34,'Ext Cert Unit Data'!$V$3:$X$242,2,FALSE)),"",VLOOKUP(G34,'Ext Cert Unit Data'!$V$3:$X$242,2,FALSE))</f>
        <v/>
      </c>
      <c r="I34" s="87"/>
      <c r="J34" s="3" t="b">
        <f t="shared" si="4"/>
        <v>0</v>
      </c>
      <c r="K34" s="37" t="str">
        <f t="shared" si="5"/>
        <v/>
      </c>
      <c r="L34" s="3"/>
      <c r="M34" s="3"/>
      <c r="N34" s="3"/>
      <c r="O34" s="3"/>
    </row>
    <row r="35" spans="1:15">
      <c r="A35" s="4"/>
      <c r="B35" s="4"/>
      <c r="C35" s="3"/>
      <c r="D35" s="3"/>
      <c r="E35" s="58"/>
      <c r="F35" s="36" t="str">
        <f>IF(ISERROR(VLOOKUP(G35,'Ext Cert Unit Data'!$V$3:$X$242,3,FALSE)),"",VLOOKUP(G35,'Ext Cert Unit Data'!$V$3:$X$242,3,FALSE))</f>
        <v/>
      </c>
      <c r="G35" s="88"/>
      <c r="H35" s="38" t="str">
        <f>IF(ISERROR(VLOOKUP(G35,'Ext Cert Unit Data'!$V$3:$X$242,2,FALSE)),"",VLOOKUP(G35,'Ext Cert Unit Data'!$V$3:$X$242,2,FALSE))</f>
        <v/>
      </c>
      <c r="I35" s="87"/>
      <c r="J35" s="3" t="b">
        <f t="shared" si="4"/>
        <v>0</v>
      </c>
      <c r="K35" s="37" t="str">
        <f t="shared" si="5"/>
        <v/>
      </c>
      <c r="L35" s="3"/>
      <c r="M35" s="3"/>
      <c r="N35" s="3"/>
      <c r="O35" s="3"/>
    </row>
    <row r="36" spans="1:15">
      <c r="A36" s="4"/>
      <c r="B36" s="4"/>
      <c r="C36" s="3"/>
      <c r="D36" s="3"/>
      <c r="E36" s="58"/>
      <c r="F36" s="36" t="str">
        <f>IF(ISERROR(VLOOKUP(G36,'Ext Cert Unit Data'!$V$3:$X$242,3,FALSE)),"",VLOOKUP(G36,'Ext Cert Unit Data'!$V$3:$X$242,3,FALSE))</f>
        <v/>
      </c>
      <c r="G36" s="88"/>
      <c r="H36" s="38" t="str">
        <f>IF(ISERROR(VLOOKUP(G36,'Ext Cert Unit Data'!$V$3:$X$242,2,FALSE)),"",VLOOKUP(G36,'Ext Cert Unit Data'!$V$3:$X$242,2,FALSE))</f>
        <v/>
      </c>
      <c r="I36" s="87"/>
      <c r="J36" s="3" t="b">
        <f t="shared" si="4"/>
        <v>0</v>
      </c>
      <c r="K36" s="37" t="str">
        <f t="shared" si="5"/>
        <v/>
      </c>
      <c r="L36" s="3"/>
      <c r="M36" s="3"/>
      <c r="N36" s="3"/>
      <c r="O36" s="3"/>
    </row>
    <row r="37" spans="1:15">
      <c r="A37" s="4"/>
      <c r="B37" s="4"/>
      <c r="C37" s="3"/>
      <c r="D37" s="3"/>
      <c r="E37" s="58"/>
      <c r="F37" s="36" t="str">
        <f>IF(ISERROR(VLOOKUP(G37,'Ext Cert Unit Data'!$V$3:$X$242,3,FALSE)),"",VLOOKUP(G37,'Ext Cert Unit Data'!$V$3:$X$242,3,FALSE))</f>
        <v/>
      </c>
      <c r="G37" s="112"/>
      <c r="H37" s="38" t="str">
        <f>IF(ISERROR(VLOOKUP(G37,'Ext Cert Unit Data'!$V$3:$X$242,2,FALSE)),"",VLOOKUP(G37,'Ext Cert Unit Data'!$V$3:$X$242,2,FALSE))</f>
        <v/>
      </c>
      <c r="I37" s="113"/>
      <c r="J37" s="3" t="b">
        <f t="shared" si="4"/>
        <v>0</v>
      </c>
      <c r="K37" s="37" t="str">
        <f t="shared" si="5"/>
        <v/>
      </c>
      <c r="L37" s="3"/>
      <c r="M37" s="3"/>
      <c r="N37" s="3"/>
      <c r="O37" s="3"/>
    </row>
    <row r="38" spans="1:15">
      <c r="A38" s="4"/>
      <c r="B38" s="4"/>
      <c r="C38" s="3"/>
      <c r="D38" s="3"/>
      <c r="E38" s="58"/>
      <c r="F38" s="35"/>
      <c r="G38" s="31"/>
      <c r="H38" s="100"/>
      <c r="I38" s="40"/>
      <c r="J38" s="3"/>
      <c r="K38" s="104" t="str">
        <f t="shared" ref="K38" si="6">IF(ISERROR(IF(I38="","",J38*(H38/10))),"",IF(I38="","",J38*(H38/10)))</f>
        <v/>
      </c>
      <c r="L38" s="3"/>
      <c r="M38" s="3"/>
      <c r="N38" s="3"/>
      <c r="O38" s="3"/>
    </row>
    <row r="39" spans="1:15">
      <c r="A39" s="4"/>
      <c r="B39" s="4"/>
      <c r="C39" s="3"/>
      <c r="D39" s="3"/>
      <c r="E39" s="62" t="s">
        <v>441</v>
      </c>
      <c r="F39" s="36" t="str">
        <f>IF(ISERROR(VLOOKUP(G39,'Ext Cert Unit Data'!$V$3:$X$242,3,FALSE)),"",VLOOKUP(G39,'Ext Cert Unit Data'!$V$3:$X$242,3,FALSE))</f>
        <v/>
      </c>
      <c r="G39" s="112"/>
      <c r="H39" s="99" t="str">
        <f>IF(ISERROR(VLOOKUP(G39,'Ext Cert Unit Data'!$V$3:$X$242,2,FALSE)),"",VLOOKUP(G39,'Ext Cert Unit Data'!$V$3:$X$242,2,FALSE))</f>
        <v/>
      </c>
      <c r="I39" s="113"/>
      <c r="J39" s="3" t="b">
        <f t="shared" ref="J39" si="7">IF(I39="U",0,IF(I39="L1",2,IF(I39="P",4,IF(I39="M",6,IF(I39="D",8)))))</f>
        <v>0</v>
      </c>
      <c r="K39" s="103" t="str">
        <f>IF(ISERROR(IF(I39="","",J39*(H39/10))),"",IF(I39="","",J39*(H39/10)))</f>
        <v/>
      </c>
      <c r="L39" s="3"/>
      <c r="M39" s="3"/>
      <c r="N39" s="3"/>
      <c r="O39" s="3"/>
    </row>
    <row r="40" spans="1:15" ht="15">
      <c r="A40" s="4"/>
      <c r="B40" s="4"/>
      <c r="C40" s="3"/>
      <c r="D40" s="3"/>
      <c r="E40" s="3"/>
      <c r="F40" s="3"/>
      <c r="G40" s="3"/>
      <c r="H40" s="34">
        <f>SUM(H9:H39)</f>
        <v>0</v>
      </c>
      <c r="I40" s="74"/>
      <c r="J40" s="3"/>
      <c r="K40" s="3"/>
      <c r="L40" s="3"/>
      <c r="M40" s="3"/>
      <c r="N40" s="3"/>
      <c r="O40" s="3"/>
    </row>
    <row r="41" spans="1:15">
      <c r="A41" s="4"/>
      <c r="B41" s="4"/>
      <c r="C41" s="3"/>
      <c r="D41" s="3"/>
      <c r="E41" s="3"/>
      <c r="F41" s="5"/>
      <c r="G41" s="5"/>
      <c r="H41" s="3"/>
      <c r="I41" s="3"/>
      <c r="J41" s="3"/>
      <c r="K41" s="3"/>
      <c r="L41" s="3"/>
      <c r="M41" s="3"/>
      <c r="N41" s="3"/>
      <c r="O41" s="3"/>
    </row>
    <row r="42" spans="1:15">
      <c r="A42" s="4"/>
      <c r="B42" s="4"/>
      <c r="C42" s="3"/>
      <c r="D42" s="3"/>
      <c r="E42" s="3"/>
      <c r="F42" s="3"/>
      <c r="G42" s="3"/>
      <c r="H42" s="3"/>
      <c r="I42" s="1" t="s">
        <v>381</v>
      </c>
      <c r="J42" s="3"/>
      <c r="K42" s="34">
        <f>SUM(K9:K39)</f>
        <v>0</v>
      </c>
      <c r="L42" s="10" t="s">
        <v>676</v>
      </c>
      <c r="M42" s="158" t="str">
        <f>IF(ISERROR(IF($G$5="Application of Science", "", IF($K9+$K10&lt;24,"24 points across Core Units required to achieve Level 2",""))),"",IF($G$5="Application of Science", "", IF($K9+$K10&lt;24,"24 points across Core Units required to achieve Level 2","")))</f>
        <v/>
      </c>
      <c r="N42" s="3"/>
      <c r="O42" s="3"/>
    </row>
    <row r="43" spans="1:15" ht="30" customHeight="1">
      <c r="A43" s="4"/>
      <c r="B43" s="4"/>
      <c r="C43" s="3"/>
      <c r="D43" s="3"/>
      <c r="E43" s="3"/>
      <c r="F43" s="3"/>
      <c r="G43" s="3"/>
      <c r="H43" s="3"/>
      <c r="I43" s="27" t="s">
        <v>382</v>
      </c>
      <c r="J43" s="3"/>
      <c r="K43" s="75" t="str">
        <f>IF(G5="","",IF(G5="Information and Creative Technology",N12,M12))</f>
        <v/>
      </c>
      <c r="L43" s="10">
        <f>IF(H40&gt;240,1,IF(H40&lt;240,3,2))</f>
        <v>3</v>
      </c>
      <c r="M43" s="158"/>
      <c r="N43" s="3"/>
      <c r="O43" s="3"/>
    </row>
    <row r="44" spans="1:15" ht="3.75" customHeight="1">
      <c r="A44" s="4"/>
      <c r="B44" s="4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</row>
    <row r="45" spans="1:15" ht="5.25" customHeight="1">
      <c r="A45" s="4"/>
      <c r="B45" s="31"/>
      <c r="C45" s="10"/>
      <c r="D45" s="10"/>
      <c r="E45" s="10"/>
      <c r="F45" s="10"/>
      <c r="G45" s="10"/>
      <c r="H45" s="3"/>
      <c r="I45" s="3"/>
      <c r="J45" s="3"/>
      <c r="K45" s="42"/>
      <c r="L45" s="3"/>
      <c r="M45" s="3"/>
      <c r="N45" s="3"/>
      <c r="O45" s="3"/>
    </row>
    <row r="46" spans="1:1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</row>
    <row r="47" spans="1:1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</row>
    <row r="48" spans="1:1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1:1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1:15" hidden="1"/>
    <row r="51" spans="1:15" hidden="1"/>
    <row r="52" spans="1:15" hidden="1"/>
  </sheetData>
  <sheetProtection password="837D" sheet="1" objects="1" scenarios="1" formatRows="0" selectLockedCells="1"/>
  <protectedRanges>
    <protectedRange sqref="H9" name="Range1_1"/>
  </protectedRanges>
  <mergeCells count="2">
    <mergeCell ref="M42:M43"/>
    <mergeCell ref="H7:I7"/>
  </mergeCells>
  <conditionalFormatting sqref="H40">
    <cfRule type="cellIs" dxfId="23" priority="3" stopIfTrue="1" operator="greaterThan">
      <formula>360</formula>
    </cfRule>
    <cfRule type="cellIs" dxfId="22" priority="4" stopIfTrue="1" operator="greaterThanOrEqual">
      <formula>360</formula>
    </cfRule>
    <cfRule type="cellIs" dxfId="21" priority="5" stopIfTrue="1" operator="lessThan">
      <formula>360</formula>
    </cfRule>
  </conditionalFormatting>
  <conditionalFormatting sqref="F14:F19">
    <cfRule type="expression" dxfId="20" priority="2" stopIfTrue="1">
      <formula>LEFT(F14,3)="N/A"</formula>
    </cfRule>
  </conditionalFormatting>
  <conditionalFormatting sqref="M42:M43">
    <cfRule type="containsText" dxfId="19" priority="1" operator="containsText" text="24">
      <formula>NOT(ISERROR(SEARCH("24",M42)))</formula>
    </cfRule>
  </conditionalFormatting>
  <dataValidations count="20">
    <dataValidation type="list" allowBlank="1" showInputMessage="1" showErrorMessage="1" sqref="G23">
      <formula1>OFFSET(INDIRECT(SUBSTITUTE(G5," ","_")&amp;"_E_Start"),0,0,COUNT(INDIRECT(SUBSTITUTE(G5," ","_")&amp;"_E_Col")),1)</formula1>
    </dataValidation>
    <dataValidation type="list" allowBlank="1" showInputMessage="1" showErrorMessage="1" sqref="G21">
      <formula1>OFFSET(INDIRECT(SUBSTITUTE(G5," ","_")&amp;"_E_Start"),0,0,COUNT(INDIRECT(SUBSTITUTE(G5," ","_")&amp;"_E_Col")),1)</formula1>
    </dataValidation>
    <dataValidation type="list" allowBlank="1" showInputMessage="1" showErrorMessage="1" sqref="G22">
      <formula1>OFFSET(INDIRECT(SUBSTITUTE(G5," ","_")&amp;"_E_Start"),0,0,COUNT(INDIRECT(SUBSTITUTE(G5," ","_")&amp;"_E_Col")),1)</formula1>
    </dataValidation>
    <dataValidation type="list" allowBlank="1" showInputMessage="1" showErrorMessage="1" sqref="G31">
      <formula1>OFFSET(INDIRECT(SUBSTITUTE(G5," ","_")&amp;"_E_B_Start"),0,0,COUNT(INDIRECT(SUBSTITUTE(G5," ","_")&amp;"_E_B_Col")),1)</formula1>
    </dataValidation>
    <dataValidation type="list" allowBlank="1" showInputMessage="1" showErrorMessage="1" sqref="G32">
      <formula1>OFFSET(INDIRECT(SUBSTITUTE(G5," ","_")&amp;"_E_B_Start"),0,0,COUNT(INDIRECT(SUBSTITUTE(G5," ","_")&amp;"_E_B_Col")),1)</formula1>
    </dataValidation>
    <dataValidation type="list" allowBlank="1" showInputMessage="1" showErrorMessage="1" sqref="G33">
      <formula1>OFFSET(INDIRECT(SUBSTITUTE(G5," ","_")&amp;"_E_B_Start"),0,0,COUNT(INDIRECT(SUBSTITUTE(G5," ","_")&amp;"_E_B_Col")),1)</formula1>
    </dataValidation>
    <dataValidation type="list" allowBlank="1" showInputMessage="1" showErrorMessage="1" sqref="G24">
      <formula1>OFFSET(INDIRECT(SUBSTITUTE(G5," ","_")&amp;"_E_Start"),0,0,COUNT(INDIRECT(SUBSTITUTE(G5," ","_")&amp;"_E_Col")),1)</formula1>
    </dataValidation>
    <dataValidation type="list" allowBlank="1" showInputMessage="1" showErrorMessage="1" sqref="G25">
      <formula1>OFFSET(INDIRECT(SUBSTITUTE(G5," ","_")&amp;"_E_Start"),0,0,COUNT(INDIRECT(SUBSTITUTE(G5," ","_")&amp;"_E_Col")),1)</formula1>
    </dataValidation>
    <dataValidation type="list" allowBlank="1" showInputMessage="1" showErrorMessage="1" sqref="G26">
      <formula1>OFFSET(INDIRECT(SUBSTITUTE(G5," ","_")&amp;"_E_Start"),0,0,COUNT(INDIRECT(SUBSTITUTE(G5," ","_")&amp;"_E_Col")),1)</formula1>
    </dataValidation>
    <dataValidation type="list" allowBlank="1" showInputMessage="1" showErrorMessage="1" sqref="G28">
      <formula1>OFFSET(INDIRECT(SUBSTITUTE(G5," ","_")&amp;"_E_Start"),0,0,COUNT(INDIRECT(SUBSTITUTE(G5," ","_")&amp;"_E_Col")),1)</formula1>
    </dataValidation>
    <dataValidation type="list" allowBlank="1" showInputMessage="1" showErrorMessage="1" sqref="G27">
      <formula1>OFFSET(INDIRECT(SUBSTITUTE(G5," ","_")&amp;"_E_Start"),0,0,COUNT(INDIRECT(SUBSTITUTE(G5," ","_")&amp;"_E_Col")),1)</formula1>
    </dataValidation>
    <dataValidation type="list" allowBlank="1" showInputMessage="1" showErrorMessage="1" sqref="G29">
      <formula1>OFFSET(INDIRECT(SUBSTITUTE(G5," ","_")&amp;"_E_Start"),0,0,COUNT(INDIRECT(SUBSTITUTE(G5," ","_")&amp;"_E_Col")),1)</formula1>
    </dataValidation>
    <dataValidation type="list" allowBlank="1" showInputMessage="1" showErrorMessage="1" sqref="G39">
      <formula1>OFFSET(INDIRECT(SUBSTITUTE(G5," ","_")&amp;"_E_C_Start"),0,0,COUNT(INDIRECT(SUBSTITUTE(G5," ","_")&amp;"_E_C_Col")),1)</formula1>
    </dataValidation>
    <dataValidation type="list" allowBlank="1" showInputMessage="1" showErrorMessage="1" sqref="G37">
      <formula1>OFFSET(INDIRECT(SUBSTITUTE(G5," ","_")&amp;"_E_B_Start"),0,0,COUNT(INDIRECT(SUBSTITUTE(G5," ","_")&amp;"_E_B_Col")),1)</formula1>
    </dataValidation>
    <dataValidation type="list" allowBlank="1" showInputMessage="1" showErrorMessage="1" sqref="I9:I10 I21:I29 I12:I19 I31:I39">
      <formula1>unitgrades</formula1>
    </dataValidation>
    <dataValidation type="list" allowBlank="1" showInputMessage="1" showErrorMessage="1" sqref="C5">
      <formula1>Sectors</formula1>
    </dataValidation>
    <dataValidation type="list" allowBlank="1" showInputMessage="1" showErrorMessage="1" sqref="G5">
      <formula1>$A$1:$A$23</formula1>
    </dataValidation>
    <dataValidation type="list" allowBlank="1" showInputMessage="1" showErrorMessage="1" sqref="G34">
      <formula1>OFFSET(INDIRECT(SUBSTITUTE(G5," ","_")&amp;"_E_B_Start"),0,0,COUNT(INDIRECT(SUBSTITUTE(G5," ","_")&amp;"_E_B_Col")),1)</formula1>
    </dataValidation>
    <dataValidation type="list" allowBlank="1" showInputMessage="1" showErrorMessage="1" sqref="G35">
      <formula1>OFFSET(INDIRECT(SUBSTITUTE(G5," ","_")&amp;"_E_B_Start"),0,0,COUNT(INDIRECT(SUBSTITUTE(G5," ","_")&amp;"_E_B_Col")),1)</formula1>
    </dataValidation>
    <dataValidation type="list" allowBlank="1" showInputMessage="1" showErrorMessage="1" sqref="G36">
      <formula1>OFFSET(INDIRECT(SUBSTITUTE(G5," ","_")&amp;"_E_B_Start"),0,0,COUNT(INDIRECT(SUBSTITUTE(G5," ","_")&amp;"_E_B_Col")),1)</formula1>
    </dataValidation>
  </dataValidations>
  <pageMargins left="0.7" right="0.7" top="0.75" bottom="0.75" header="0.3" footer="0.3"/>
  <pageSetup paperSize="9" orientation="portrait" verticalDpi="0"/>
  <ignoredErrors>
    <ignoredError sqref="N10:N11 M9" evalError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X242"/>
  <sheetViews>
    <sheetView topLeftCell="R208" workbookViewId="0">
      <selection activeCell="V36" sqref="V36:V38"/>
    </sheetView>
  </sheetViews>
  <sheetFormatPr baseColWidth="10" defaultColWidth="8.83203125" defaultRowHeight="14" x14ac:dyDescent="0"/>
  <cols>
    <col min="1" max="1" width="35.5" customWidth="1"/>
    <col min="2" max="2" width="26.33203125" customWidth="1"/>
    <col min="6" max="6" width="24.83203125" customWidth="1"/>
    <col min="7" max="7" width="27.83203125" customWidth="1"/>
    <col min="11" max="11" width="16.1640625" customWidth="1"/>
    <col min="12" max="12" width="33.6640625" customWidth="1"/>
    <col min="16" max="16" width="31" customWidth="1"/>
    <col min="17" max="17" width="58.5" customWidth="1"/>
    <col min="18" max="18" width="7.83203125" customWidth="1"/>
    <col min="21" max="21" width="30.5" customWidth="1"/>
    <col min="22" max="22" width="45.33203125" customWidth="1"/>
    <col min="23" max="23" width="7.33203125" customWidth="1"/>
    <col min="24" max="24" width="10.6640625" customWidth="1"/>
  </cols>
  <sheetData>
    <row r="1" spans="1:24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" t="s">
        <v>26</v>
      </c>
      <c r="Q1" s="2"/>
      <c r="R1" s="2"/>
      <c r="S1" s="2"/>
      <c r="U1" s="2" t="s">
        <v>385</v>
      </c>
      <c r="V1" s="2"/>
      <c r="W1" s="2"/>
      <c r="X1" s="2"/>
    </row>
    <row r="2" spans="1:24">
      <c r="A2" s="2" t="s">
        <v>10</v>
      </c>
      <c r="B2" s="2" t="s">
        <v>13</v>
      </c>
      <c r="C2" s="2" t="s">
        <v>0</v>
      </c>
      <c r="D2" s="2"/>
      <c r="E2" s="2"/>
      <c r="F2" s="2" t="s">
        <v>10</v>
      </c>
      <c r="G2" s="2" t="s">
        <v>13</v>
      </c>
      <c r="H2" s="2" t="s">
        <v>0</v>
      </c>
      <c r="I2" s="2"/>
      <c r="J2" s="2"/>
      <c r="K2" s="2" t="s">
        <v>10</v>
      </c>
      <c r="L2" s="2" t="s">
        <v>13</v>
      </c>
      <c r="M2" s="2" t="s">
        <v>0</v>
      </c>
      <c r="N2" s="2"/>
      <c r="P2" s="13" t="s">
        <v>10</v>
      </c>
      <c r="Q2" s="13" t="s">
        <v>13</v>
      </c>
      <c r="R2" s="13" t="s">
        <v>0</v>
      </c>
      <c r="S2" s="13"/>
      <c r="U2" s="2" t="s">
        <v>10</v>
      </c>
      <c r="V2" s="2" t="s">
        <v>13</v>
      </c>
      <c r="W2" s="2" t="s">
        <v>0</v>
      </c>
      <c r="X2" s="2"/>
    </row>
    <row r="3" spans="1:24">
      <c r="A3" s="14" t="s">
        <v>50</v>
      </c>
      <c r="B3" t="s">
        <v>380</v>
      </c>
      <c r="C3">
        <v>30</v>
      </c>
      <c r="D3" t="s">
        <v>15</v>
      </c>
      <c r="F3" t="s">
        <v>50</v>
      </c>
      <c r="G3" t="s">
        <v>62</v>
      </c>
      <c r="H3">
        <v>30</v>
      </c>
      <c r="I3" t="s">
        <v>25</v>
      </c>
      <c r="K3" t="s">
        <v>50</v>
      </c>
      <c r="L3" t="s">
        <v>481</v>
      </c>
      <c r="M3">
        <v>60</v>
      </c>
      <c r="N3" t="s">
        <v>25</v>
      </c>
      <c r="P3" s="14" t="s">
        <v>50</v>
      </c>
      <c r="Q3" s="23" t="s">
        <v>261</v>
      </c>
      <c r="R3" s="14">
        <v>30</v>
      </c>
      <c r="S3" s="14" t="s">
        <v>15</v>
      </c>
      <c r="U3" s="55" t="s">
        <v>50</v>
      </c>
      <c r="V3" s="55" t="s">
        <v>84</v>
      </c>
      <c r="W3" s="55">
        <v>30</v>
      </c>
      <c r="X3" s="55" t="s">
        <v>15</v>
      </c>
    </row>
    <row r="4" spans="1:24">
      <c r="A4" s="52" t="s">
        <v>180</v>
      </c>
      <c r="B4" t="s">
        <v>380</v>
      </c>
      <c r="C4">
        <v>30</v>
      </c>
      <c r="D4" t="s">
        <v>15</v>
      </c>
      <c r="F4" s="52" t="s">
        <v>180</v>
      </c>
      <c r="G4" t="s">
        <v>62</v>
      </c>
      <c r="H4">
        <v>30</v>
      </c>
      <c r="I4" t="s">
        <v>25</v>
      </c>
      <c r="K4" s="52" t="s">
        <v>180</v>
      </c>
      <c r="L4" t="s">
        <v>481</v>
      </c>
      <c r="M4">
        <v>60</v>
      </c>
      <c r="N4" t="s">
        <v>15</v>
      </c>
      <c r="P4" s="14" t="s">
        <v>180</v>
      </c>
      <c r="Q4" s="23" t="s">
        <v>261</v>
      </c>
      <c r="R4" s="14">
        <v>30</v>
      </c>
      <c r="S4" s="14" t="s">
        <v>15</v>
      </c>
      <c r="U4" s="55" t="s">
        <v>50</v>
      </c>
      <c r="V4" s="55" t="s">
        <v>262</v>
      </c>
      <c r="W4" s="55">
        <v>30</v>
      </c>
      <c r="X4" s="55" t="s">
        <v>15</v>
      </c>
    </row>
    <row r="5" spans="1:24">
      <c r="A5" s="53" t="s">
        <v>181</v>
      </c>
      <c r="B5" t="s">
        <v>380</v>
      </c>
      <c r="C5">
        <v>30</v>
      </c>
      <c r="D5" t="s">
        <v>15</v>
      </c>
      <c r="F5" s="53" t="s">
        <v>181</v>
      </c>
      <c r="G5" t="s">
        <v>62</v>
      </c>
      <c r="H5">
        <v>30</v>
      </c>
      <c r="I5" t="s">
        <v>25</v>
      </c>
      <c r="K5" s="53" t="s">
        <v>181</v>
      </c>
      <c r="L5" t="s">
        <v>481</v>
      </c>
      <c r="M5">
        <v>60</v>
      </c>
      <c r="N5" t="s">
        <v>15</v>
      </c>
      <c r="P5" s="14" t="s">
        <v>181</v>
      </c>
      <c r="Q5" s="23" t="s">
        <v>261</v>
      </c>
      <c r="R5" s="14">
        <v>30</v>
      </c>
      <c r="S5" s="14" t="s">
        <v>15</v>
      </c>
      <c r="U5" s="55" t="s">
        <v>50</v>
      </c>
      <c r="V5" s="55" t="s">
        <v>261</v>
      </c>
      <c r="W5" s="55">
        <v>30</v>
      </c>
      <c r="X5" s="55" t="s">
        <v>15</v>
      </c>
    </row>
    <row r="6" spans="1:24">
      <c r="A6" s="52" t="s">
        <v>182</v>
      </c>
      <c r="B6" t="s">
        <v>380</v>
      </c>
      <c r="C6">
        <v>30</v>
      </c>
      <c r="D6" t="s">
        <v>15</v>
      </c>
      <c r="F6" s="52" t="s">
        <v>182</v>
      </c>
      <c r="G6" t="s">
        <v>62</v>
      </c>
      <c r="H6">
        <v>30</v>
      </c>
      <c r="I6" t="s">
        <v>25</v>
      </c>
      <c r="K6" s="52" t="s">
        <v>182</v>
      </c>
      <c r="L6" t="s">
        <v>481</v>
      </c>
      <c r="M6">
        <v>60</v>
      </c>
      <c r="N6" t="s">
        <v>15</v>
      </c>
      <c r="P6" s="14" t="s">
        <v>182</v>
      </c>
      <c r="Q6" s="23" t="s">
        <v>261</v>
      </c>
      <c r="R6" s="14">
        <v>30</v>
      </c>
      <c r="S6" s="14" t="s">
        <v>15</v>
      </c>
      <c r="U6" s="55" t="s">
        <v>50</v>
      </c>
      <c r="V6" s="55" t="s">
        <v>333</v>
      </c>
      <c r="W6" s="55">
        <v>30</v>
      </c>
      <c r="X6" s="55" t="s">
        <v>15</v>
      </c>
    </row>
    <row r="7" spans="1:24">
      <c r="A7" s="52" t="s">
        <v>183</v>
      </c>
      <c r="B7" t="s">
        <v>380</v>
      </c>
      <c r="C7">
        <v>30</v>
      </c>
      <c r="D7" t="s">
        <v>15</v>
      </c>
      <c r="F7" s="52" t="s">
        <v>183</v>
      </c>
      <c r="G7" t="s">
        <v>62</v>
      </c>
      <c r="H7">
        <v>30</v>
      </c>
      <c r="I7" t="s">
        <v>25</v>
      </c>
      <c r="K7" s="52" t="s">
        <v>183</v>
      </c>
      <c r="L7" t="s">
        <v>481</v>
      </c>
      <c r="M7">
        <v>60</v>
      </c>
      <c r="N7" t="s">
        <v>15</v>
      </c>
      <c r="P7" s="14" t="s">
        <v>183</v>
      </c>
      <c r="Q7" s="23" t="s">
        <v>261</v>
      </c>
      <c r="R7" s="14">
        <v>30</v>
      </c>
      <c r="S7" s="14" t="s">
        <v>15</v>
      </c>
      <c r="U7" s="55" t="s">
        <v>50</v>
      </c>
      <c r="V7" s="97" t="s">
        <v>334</v>
      </c>
      <c r="W7" s="97">
        <v>30</v>
      </c>
      <c r="X7" s="97" t="s">
        <v>25</v>
      </c>
    </row>
    <row r="8" spans="1:24">
      <c r="A8" s="52" t="s">
        <v>184</v>
      </c>
      <c r="B8" t="s">
        <v>380</v>
      </c>
      <c r="C8">
        <v>30</v>
      </c>
      <c r="D8" t="s">
        <v>15</v>
      </c>
      <c r="F8" s="52" t="s">
        <v>184</v>
      </c>
      <c r="G8" t="s">
        <v>62</v>
      </c>
      <c r="H8">
        <v>30</v>
      </c>
      <c r="I8" t="s">
        <v>25</v>
      </c>
      <c r="K8" s="52" t="s">
        <v>184</v>
      </c>
      <c r="L8" t="s">
        <v>481</v>
      </c>
      <c r="M8">
        <v>60</v>
      </c>
      <c r="N8" t="s">
        <v>15</v>
      </c>
      <c r="P8" s="14" t="s">
        <v>184</v>
      </c>
      <c r="Q8" s="23" t="s">
        <v>261</v>
      </c>
      <c r="R8" s="14">
        <v>30</v>
      </c>
      <c r="S8" s="14" t="s">
        <v>15</v>
      </c>
      <c r="U8" s="55" t="s">
        <v>50</v>
      </c>
      <c r="V8" s="55" t="s">
        <v>270</v>
      </c>
      <c r="W8" s="55">
        <v>30</v>
      </c>
      <c r="X8" s="55" t="s">
        <v>15</v>
      </c>
    </row>
    <row r="9" spans="1:24">
      <c r="A9" s="52" t="s">
        <v>185</v>
      </c>
      <c r="B9" t="s">
        <v>380</v>
      </c>
      <c r="C9">
        <v>30</v>
      </c>
      <c r="D9" t="s">
        <v>15</v>
      </c>
      <c r="F9" s="52" t="s">
        <v>185</v>
      </c>
      <c r="G9" t="s">
        <v>62</v>
      </c>
      <c r="H9">
        <v>30</v>
      </c>
      <c r="I9" t="s">
        <v>25</v>
      </c>
      <c r="K9" s="52" t="s">
        <v>185</v>
      </c>
      <c r="L9" t="s">
        <v>481</v>
      </c>
      <c r="M9">
        <v>60</v>
      </c>
      <c r="N9" t="s">
        <v>15</v>
      </c>
      <c r="P9" s="14" t="s">
        <v>185</v>
      </c>
      <c r="Q9" s="23" t="s">
        <v>261</v>
      </c>
      <c r="R9" s="14">
        <v>30</v>
      </c>
      <c r="S9" s="14" t="s">
        <v>15</v>
      </c>
      <c r="U9" s="55" t="s">
        <v>50</v>
      </c>
      <c r="V9" s="54" t="s">
        <v>280</v>
      </c>
      <c r="W9" s="55">
        <v>60</v>
      </c>
      <c r="X9" s="55" t="s">
        <v>15</v>
      </c>
    </row>
    <row r="10" spans="1:24">
      <c r="A10" t="s">
        <v>51</v>
      </c>
      <c r="B10" t="s">
        <v>63</v>
      </c>
      <c r="C10">
        <v>30</v>
      </c>
      <c r="D10" t="s">
        <v>15</v>
      </c>
      <c r="F10" t="s">
        <v>51</v>
      </c>
      <c r="G10" t="s">
        <v>64</v>
      </c>
      <c r="H10">
        <v>30</v>
      </c>
      <c r="I10" t="s">
        <v>25</v>
      </c>
      <c r="K10" t="s">
        <v>51</v>
      </c>
      <c r="M10">
        <v>30</v>
      </c>
      <c r="N10" t="s">
        <v>25</v>
      </c>
      <c r="P10" s="14" t="s">
        <v>51</v>
      </c>
      <c r="Q10" s="14" t="s">
        <v>335</v>
      </c>
      <c r="R10" s="14">
        <v>30</v>
      </c>
      <c r="S10" s="14" t="s">
        <v>25</v>
      </c>
      <c r="U10" s="55" t="s">
        <v>50</v>
      </c>
      <c r="V10" s="54" t="s">
        <v>279</v>
      </c>
      <c r="W10" s="55">
        <v>60</v>
      </c>
      <c r="X10" s="55" t="s">
        <v>15</v>
      </c>
    </row>
    <row r="11" spans="1:24">
      <c r="A11" t="s">
        <v>129</v>
      </c>
      <c r="B11" t="s">
        <v>65</v>
      </c>
      <c r="C11">
        <v>30</v>
      </c>
      <c r="D11" t="s">
        <v>25</v>
      </c>
      <c r="F11" t="s">
        <v>129</v>
      </c>
      <c r="G11" t="s">
        <v>66</v>
      </c>
      <c r="H11">
        <v>30</v>
      </c>
      <c r="I11" t="s">
        <v>15</v>
      </c>
      <c r="K11" t="s">
        <v>129</v>
      </c>
      <c r="M11">
        <v>30</v>
      </c>
      <c r="N11" t="s">
        <v>15</v>
      </c>
      <c r="P11" s="14" t="s">
        <v>129</v>
      </c>
      <c r="Q11" s="14" t="s">
        <v>94</v>
      </c>
      <c r="R11" s="14">
        <v>60</v>
      </c>
      <c r="S11" s="14" t="s">
        <v>15</v>
      </c>
      <c r="U11" s="55" t="s">
        <v>50</v>
      </c>
      <c r="V11" s="54" t="s">
        <v>296</v>
      </c>
      <c r="W11" s="55">
        <v>60</v>
      </c>
      <c r="X11" s="55" t="s">
        <v>15</v>
      </c>
    </row>
    <row r="12" spans="1:24">
      <c r="A12" t="s">
        <v>52</v>
      </c>
      <c r="B12" t="s">
        <v>67</v>
      </c>
      <c r="C12">
        <v>30</v>
      </c>
      <c r="D12" t="s">
        <v>25</v>
      </c>
      <c r="F12" t="s">
        <v>52</v>
      </c>
      <c r="G12" t="s">
        <v>338</v>
      </c>
      <c r="H12">
        <v>30</v>
      </c>
      <c r="I12" t="s">
        <v>15</v>
      </c>
      <c r="K12" t="s">
        <v>52</v>
      </c>
      <c r="M12">
        <v>30</v>
      </c>
      <c r="N12" t="s">
        <v>15</v>
      </c>
      <c r="P12" s="14" t="s">
        <v>52</v>
      </c>
      <c r="Q12" s="23" t="s">
        <v>95</v>
      </c>
      <c r="R12" s="14">
        <v>30</v>
      </c>
      <c r="S12" s="14" t="s">
        <v>15</v>
      </c>
      <c r="U12" s="55" t="s">
        <v>50</v>
      </c>
      <c r="V12" s="54" t="s">
        <v>288</v>
      </c>
      <c r="W12" s="55">
        <v>60</v>
      </c>
      <c r="X12" s="55" t="s">
        <v>15</v>
      </c>
    </row>
    <row r="13" spans="1:24">
      <c r="A13" t="s">
        <v>53</v>
      </c>
      <c r="B13" t="s">
        <v>18</v>
      </c>
      <c r="C13">
        <v>30</v>
      </c>
      <c r="D13" t="s">
        <v>25</v>
      </c>
      <c r="F13" t="s">
        <v>53</v>
      </c>
      <c r="G13" t="s">
        <v>19</v>
      </c>
      <c r="H13">
        <v>30</v>
      </c>
      <c r="I13" t="s">
        <v>15</v>
      </c>
      <c r="K13" t="s">
        <v>53</v>
      </c>
      <c r="M13">
        <v>30</v>
      </c>
      <c r="N13" t="s">
        <v>15</v>
      </c>
      <c r="P13" s="14" t="s">
        <v>53</v>
      </c>
      <c r="Q13" s="14" t="s">
        <v>27</v>
      </c>
      <c r="R13" s="14">
        <v>30</v>
      </c>
      <c r="S13" s="14" t="s">
        <v>25</v>
      </c>
      <c r="U13" s="55" t="s">
        <v>50</v>
      </c>
      <c r="V13" s="54" t="s">
        <v>339</v>
      </c>
      <c r="W13" s="55">
        <v>60</v>
      </c>
      <c r="X13" s="55" t="s">
        <v>15</v>
      </c>
    </row>
    <row r="14" spans="1:24">
      <c r="A14" t="s">
        <v>54</v>
      </c>
      <c r="B14" t="s">
        <v>68</v>
      </c>
      <c r="C14">
        <v>30</v>
      </c>
      <c r="D14" t="s">
        <v>25</v>
      </c>
      <c r="F14" t="s">
        <v>54</v>
      </c>
      <c r="G14" t="s">
        <v>379</v>
      </c>
      <c r="H14">
        <v>30</v>
      </c>
      <c r="I14" t="s">
        <v>15</v>
      </c>
      <c r="K14" t="s">
        <v>54</v>
      </c>
      <c r="M14">
        <v>30</v>
      </c>
      <c r="N14" t="s">
        <v>15</v>
      </c>
      <c r="P14" s="23" t="s">
        <v>54</v>
      </c>
      <c r="Q14" s="23" t="s">
        <v>341</v>
      </c>
      <c r="R14" s="14">
        <v>30</v>
      </c>
      <c r="S14" s="14" t="s">
        <v>25</v>
      </c>
      <c r="U14" s="55" t="s">
        <v>50</v>
      </c>
      <c r="V14" s="54" t="s">
        <v>297</v>
      </c>
      <c r="W14" s="55">
        <v>60</v>
      </c>
      <c r="X14" s="55" t="s">
        <v>15</v>
      </c>
    </row>
    <row r="15" spans="1:24">
      <c r="A15" t="s">
        <v>55</v>
      </c>
      <c r="B15" t="s">
        <v>70</v>
      </c>
      <c r="C15">
        <v>30</v>
      </c>
      <c r="D15" t="s">
        <v>25</v>
      </c>
      <c r="F15" t="s">
        <v>55</v>
      </c>
      <c r="G15" t="s">
        <v>71</v>
      </c>
      <c r="H15">
        <v>30</v>
      </c>
      <c r="I15" t="s">
        <v>15</v>
      </c>
      <c r="K15" t="s">
        <v>55</v>
      </c>
      <c r="M15">
        <v>30</v>
      </c>
      <c r="N15" t="s">
        <v>15</v>
      </c>
      <c r="P15" s="14" t="s">
        <v>55</v>
      </c>
      <c r="Q15" s="23" t="s">
        <v>342</v>
      </c>
      <c r="R15" s="14">
        <v>30</v>
      </c>
      <c r="S15" s="14" t="s">
        <v>15</v>
      </c>
      <c r="U15" s="55" t="s">
        <v>50</v>
      </c>
      <c r="V15" s="54" t="s">
        <v>295</v>
      </c>
      <c r="W15" s="55">
        <v>60</v>
      </c>
      <c r="X15" s="55" t="s">
        <v>15</v>
      </c>
    </row>
    <row r="16" spans="1:24">
      <c r="A16" t="s">
        <v>56</v>
      </c>
      <c r="B16" t="s">
        <v>72</v>
      </c>
      <c r="C16">
        <v>30</v>
      </c>
      <c r="D16" t="s">
        <v>25</v>
      </c>
      <c r="F16" t="s">
        <v>56</v>
      </c>
      <c r="G16" t="s">
        <v>73</v>
      </c>
      <c r="H16">
        <v>30</v>
      </c>
      <c r="I16" t="s">
        <v>15</v>
      </c>
      <c r="K16" t="s">
        <v>56</v>
      </c>
      <c r="M16">
        <v>30</v>
      </c>
      <c r="N16" t="s">
        <v>15</v>
      </c>
      <c r="P16" s="23" t="s">
        <v>56</v>
      </c>
      <c r="Q16" s="23" t="s">
        <v>114</v>
      </c>
      <c r="R16" s="14">
        <v>30</v>
      </c>
      <c r="S16" s="14" t="s">
        <v>15</v>
      </c>
      <c r="U16" s="55" t="s">
        <v>50</v>
      </c>
      <c r="V16" s="54" t="s">
        <v>412</v>
      </c>
      <c r="W16" s="97">
        <v>30</v>
      </c>
      <c r="X16" s="55" t="s">
        <v>15</v>
      </c>
    </row>
    <row r="17" spans="1:24">
      <c r="A17" t="s">
        <v>57</v>
      </c>
      <c r="B17" t="s">
        <v>252</v>
      </c>
      <c r="C17">
        <v>30</v>
      </c>
      <c r="D17" t="s">
        <v>25</v>
      </c>
      <c r="F17" t="s">
        <v>57</v>
      </c>
      <c r="G17" t="s">
        <v>266</v>
      </c>
      <c r="H17">
        <v>30</v>
      </c>
      <c r="I17" t="s">
        <v>25</v>
      </c>
      <c r="K17" t="s">
        <v>57</v>
      </c>
      <c r="M17">
        <v>30</v>
      </c>
      <c r="N17" t="s">
        <v>25</v>
      </c>
      <c r="P17" s="14" t="s">
        <v>57</v>
      </c>
      <c r="Q17" s="33" t="s">
        <v>135</v>
      </c>
      <c r="R17" s="14">
        <v>30</v>
      </c>
      <c r="S17" s="14" t="s">
        <v>15</v>
      </c>
      <c r="U17" s="55" t="s">
        <v>50</v>
      </c>
      <c r="V17" s="54" t="s">
        <v>443</v>
      </c>
      <c r="W17" s="97">
        <v>30</v>
      </c>
      <c r="X17" s="55" t="s">
        <v>15</v>
      </c>
    </row>
    <row r="18" spans="1:24">
      <c r="A18" t="s">
        <v>12</v>
      </c>
      <c r="B18" t="s">
        <v>16</v>
      </c>
      <c r="C18">
        <v>30</v>
      </c>
      <c r="D18" t="s">
        <v>25</v>
      </c>
      <c r="F18" t="s">
        <v>12</v>
      </c>
      <c r="G18" t="s">
        <v>17</v>
      </c>
      <c r="H18">
        <v>30</v>
      </c>
      <c r="I18" t="s">
        <v>15</v>
      </c>
      <c r="K18" t="s">
        <v>12</v>
      </c>
      <c r="M18">
        <v>30</v>
      </c>
      <c r="N18" t="s">
        <v>15</v>
      </c>
      <c r="P18" s="14" t="s">
        <v>12</v>
      </c>
      <c r="Q18" s="14" t="s">
        <v>28</v>
      </c>
      <c r="R18" s="14">
        <v>30</v>
      </c>
      <c r="S18" s="14" t="s">
        <v>25</v>
      </c>
      <c r="U18" s="55" t="s">
        <v>50</v>
      </c>
      <c r="V18" s="120" t="s">
        <v>413</v>
      </c>
      <c r="W18" s="97">
        <v>60</v>
      </c>
      <c r="X18" s="55" t="s">
        <v>15</v>
      </c>
    </row>
    <row r="19" spans="1:24">
      <c r="A19" s="56" t="s">
        <v>58</v>
      </c>
      <c r="B19" t="s">
        <v>74</v>
      </c>
      <c r="C19">
        <v>30</v>
      </c>
      <c r="D19" t="s">
        <v>25</v>
      </c>
      <c r="F19" s="56" t="s">
        <v>58</v>
      </c>
      <c r="G19" t="s">
        <v>75</v>
      </c>
      <c r="H19">
        <v>30</v>
      </c>
      <c r="I19" t="s">
        <v>15</v>
      </c>
      <c r="K19" s="56" t="s">
        <v>58</v>
      </c>
      <c r="M19">
        <v>30</v>
      </c>
      <c r="N19" t="s">
        <v>15</v>
      </c>
      <c r="P19" s="14" t="s">
        <v>58</v>
      </c>
      <c r="Q19" s="14" t="s">
        <v>358</v>
      </c>
      <c r="R19" s="14">
        <v>30</v>
      </c>
      <c r="S19" s="14" t="s">
        <v>25</v>
      </c>
      <c r="U19" s="55" t="s">
        <v>50</v>
      </c>
      <c r="V19" s="54" t="s">
        <v>414</v>
      </c>
      <c r="W19" s="97">
        <v>60</v>
      </c>
      <c r="X19" s="55" t="s">
        <v>15</v>
      </c>
    </row>
    <row r="20" spans="1:24">
      <c r="A20" s="56" t="s">
        <v>186</v>
      </c>
      <c r="B20" t="s">
        <v>74</v>
      </c>
      <c r="C20">
        <v>30</v>
      </c>
      <c r="D20" t="s">
        <v>25</v>
      </c>
      <c r="F20" s="56" t="s">
        <v>186</v>
      </c>
      <c r="G20" t="s">
        <v>75</v>
      </c>
      <c r="H20">
        <v>30</v>
      </c>
      <c r="I20" t="s">
        <v>15</v>
      </c>
      <c r="K20" s="56" t="s">
        <v>186</v>
      </c>
      <c r="M20">
        <v>30</v>
      </c>
      <c r="N20" t="s">
        <v>15</v>
      </c>
      <c r="P20" s="14" t="s">
        <v>168</v>
      </c>
      <c r="Q20" s="14" t="s">
        <v>458</v>
      </c>
      <c r="R20" s="14">
        <v>30</v>
      </c>
      <c r="S20" s="14" t="s">
        <v>25</v>
      </c>
      <c r="U20" s="55" t="s">
        <v>50</v>
      </c>
      <c r="V20" s="120" t="s">
        <v>445</v>
      </c>
      <c r="W20" s="97">
        <v>60</v>
      </c>
      <c r="X20" s="55" t="s">
        <v>15</v>
      </c>
    </row>
    <row r="21" spans="1:24">
      <c r="A21" s="56" t="s">
        <v>187</v>
      </c>
      <c r="B21" t="s">
        <v>74</v>
      </c>
      <c r="C21">
        <v>30</v>
      </c>
      <c r="D21" t="s">
        <v>25</v>
      </c>
      <c r="F21" s="56" t="s">
        <v>187</v>
      </c>
      <c r="G21" t="s">
        <v>75</v>
      </c>
      <c r="H21">
        <v>30</v>
      </c>
      <c r="I21" t="s">
        <v>15</v>
      </c>
      <c r="K21" s="56" t="s">
        <v>187</v>
      </c>
      <c r="M21">
        <v>30</v>
      </c>
      <c r="N21" t="s">
        <v>15</v>
      </c>
      <c r="P21" s="14" t="s">
        <v>186</v>
      </c>
      <c r="Q21" s="14" t="s">
        <v>120</v>
      </c>
      <c r="R21" s="14">
        <v>60</v>
      </c>
      <c r="S21" s="14" t="s">
        <v>15</v>
      </c>
      <c r="U21" s="55" t="s">
        <v>50</v>
      </c>
      <c r="V21" s="54" t="s">
        <v>415</v>
      </c>
      <c r="W21" s="97">
        <v>60</v>
      </c>
      <c r="X21" s="55" t="s">
        <v>15</v>
      </c>
    </row>
    <row r="22" spans="1:24">
      <c r="A22" s="56" t="s">
        <v>188</v>
      </c>
      <c r="B22" t="s">
        <v>74</v>
      </c>
      <c r="C22">
        <v>30</v>
      </c>
      <c r="D22" t="s">
        <v>25</v>
      </c>
      <c r="F22" s="56" t="s">
        <v>188</v>
      </c>
      <c r="G22" t="s">
        <v>75</v>
      </c>
      <c r="H22">
        <v>30</v>
      </c>
      <c r="I22" t="s">
        <v>15</v>
      </c>
      <c r="K22" s="56" t="s">
        <v>188</v>
      </c>
      <c r="M22">
        <v>30</v>
      </c>
      <c r="N22" t="s">
        <v>15</v>
      </c>
      <c r="P22" s="14" t="s">
        <v>187</v>
      </c>
      <c r="Q22" s="14" t="s">
        <v>121</v>
      </c>
      <c r="R22" s="14">
        <v>60</v>
      </c>
      <c r="S22" s="14" t="s">
        <v>15</v>
      </c>
      <c r="U22" s="55" t="s">
        <v>50</v>
      </c>
      <c r="V22" s="54" t="s">
        <v>416</v>
      </c>
      <c r="W22" s="97">
        <v>60</v>
      </c>
      <c r="X22" s="55" t="s">
        <v>15</v>
      </c>
    </row>
    <row r="23" spans="1:24">
      <c r="A23" s="56" t="s">
        <v>189</v>
      </c>
      <c r="B23" t="s">
        <v>74</v>
      </c>
      <c r="C23">
        <v>30</v>
      </c>
      <c r="D23" t="s">
        <v>25</v>
      </c>
      <c r="F23" s="56" t="s">
        <v>189</v>
      </c>
      <c r="G23" t="s">
        <v>75</v>
      </c>
      <c r="H23">
        <v>30</v>
      </c>
      <c r="I23" t="s">
        <v>15</v>
      </c>
      <c r="K23" s="56" t="s">
        <v>189</v>
      </c>
      <c r="M23">
        <v>30</v>
      </c>
      <c r="N23" t="s">
        <v>15</v>
      </c>
      <c r="P23" s="14" t="s">
        <v>188</v>
      </c>
      <c r="Q23" s="14" t="s">
        <v>275</v>
      </c>
      <c r="R23" s="14">
        <v>60</v>
      </c>
      <c r="S23" s="14" t="s">
        <v>15</v>
      </c>
      <c r="U23" s="55" t="s">
        <v>50</v>
      </c>
      <c r="V23" s="120" t="s">
        <v>482</v>
      </c>
      <c r="W23" s="97">
        <v>60</v>
      </c>
      <c r="X23" s="55" t="s">
        <v>15</v>
      </c>
    </row>
    <row r="24" spans="1:24">
      <c r="A24" t="s">
        <v>59</v>
      </c>
      <c r="B24" t="s">
        <v>76</v>
      </c>
      <c r="C24">
        <v>30</v>
      </c>
      <c r="D24" t="s">
        <v>25</v>
      </c>
      <c r="F24" t="s">
        <v>59</v>
      </c>
      <c r="G24" t="s">
        <v>77</v>
      </c>
      <c r="H24">
        <v>30</v>
      </c>
      <c r="I24" t="s">
        <v>15</v>
      </c>
      <c r="K24" t="s">
        <v>59</v>
      </c>
      <c r="M24">
        <v>30</v>
      </c>
      <c r="N24" t="s">
        <v>15</v>
      </c>
      <c r="P24" s="14" t="s">
        <v>189</v>
      </c>
      <c r="Q24" s="14" t="s">
        <v>124</v>
      </c>
      <c r="R24" s="14">
        <v>60</v>
      </c>
      <c r="S24" s="14" t="s">
        <v>15</v>
      </c>
      <c r="U24" s="55" t="s">
        <v>50</v>
      </c>
      <c r="V24" s="120" t="s">
        <v>483</v>
      </c>
      <c r="W24" s="97">
        <v>60</v>
      </c>
      <c r="X24" s="55" t="s">
        <v>15</v>
      </c>
    </row>
    <row r="25" spans="1:24">
      <c r="A25" t="s">
        <v>60</v>
      </c>
      <c r="B25" t="s">
        <v>78</v>
      </c>
      <c r="C25">
        <v>30</v>
      </c>
      <c r="D25" t="s">
        <v>25</v>
      </c>
      <c r="F25" t="s">
        <v>60</v>
      </c>
      <c r="G25" t="s">
        <v>79</v>
      </c>
      <c r="H25">
        <v>30</v>
      </c>
      <c r="I25" t="s">
        <v>15</v>
      </c>
      <c r="K25" t="s">
        <v>60</v>
      </c>
      <c r="M25">
        <v>30</v>
      </c>
      <c r="N25" t="s">
        <v>15</v>
      </c>
      <c r="P25" s="14" t="s">
        <v>59</v>
      </c>
      <c r="Q25" s="14" t="s">
        <v>347</v>
      </c>
      <c r="R25" s="14">
        <v>30</v>
      </c>
      <c r="S25" s="14" t="s">
        <v>25</v>
      </c>
      <c r="U25" s="55" t="s">
        <v>50</v>
      </c>
      <c r="V25" s="120" t="s">
        <v>484</v>
      </c>
      <c r="W25" s="97">
        <v>60</v>
      </c>
      <c r="X25" s="55" t="s">
        <v>15</v>
      </c>
    </row>
    <row r="26" spans="1:24">
      <c r="A26" t="s">
        <v>168</v>
      </c>
      <c r="B26" t="s">
        <v>170</v>
      </c>
      <c r="C26">
        <v>30</v>
      </c>
      <c r="D26" t="s">
        <v>25</v>
      </c>
      <c r="F26" t="s">
        <v>168</v>
      </c>
      <c r="G26" t="s">
        <v>169</v>
      </c>
      <c r="H26">
        <v>30</v>
      </c>
      <c r="I26" t="s">
        <v>15</v>
      </c>
      <c r="K26" t="s">
        <v>168</v>
      </c>
      <c r="M26">
        <v>30</v>
      </c>
      <c r="N26" t="s">
        <v>15</v>
      </c>
      <c r="P26" s="14" t="s">
        <v>60</v>
      </c>
      <c r="Q26" s="14" t="s">
        <v>81</v>
      </c>
      <c r="R26" s="14">
        <v>30</v>
      </c>
      <c r="S26" s="14" t="s">
        <v>15</v>
      </c>
      <c r="U26" s="55" t="s">
        <v>50</v>
      </c>
      <c r="V26" s="120" t="s">
        <v>485</v>
      </c>
      <c r="W26" s="97">
        <v>60</v>
      </c>
      <c r="X26" s="55" t="s">
        <v>15</v>
      </c>
    </row>
    <row r="27" spans="1:24">
      <c r="P27" s="33" t="s">
        <v>146</v>
      </c>
      <c r="Q27" s="33" t="s">
        <v>371</v>
      </c>
      <c r="R27" s="33">
        <v>30</v>
      </c>
      <c r="S27" s="33" t="s">
        <v>25</v>
      </c>
      <c r="U27" s="55" t="s">
        <v>50</v>
      </c>
      <c r="V27" s="120" t="s">
        <v>486</v>
      </c>
      <c r="W27" s="97">
        <v>60</v>
      </c>
      <c r="X27" s="55" t="s">
        <v>15</v>
      </c>
    </row>
    <row r="28" spans="1:24">
      <c r="U28" s="55" t="s">
        <v>50</v>
      </c>
      <c r="V28" s="120" t="s">
        <v>487</v>
      </c>
      <c r="W28" s="97">
        <v>60</v>
      </c>
      <c r="X28" s="55" t="s">
        <v>15</v>
      </c>
    </row>
    <row r="29" spans="1:24">
      <c r="U29" s="55" t="s">
        <v>50</v>
      </c>
      <c r="V29" s="120" t="s">
        <v>488</v>
      </c>
      <c r="W29" s="97">
        <v>60</v>
      </c>
      <c r="X29" s="55" t="s">
        <v>15</v>
      </c>
    </row>
    <row r="30" spans="1:24">
      <c r="U30" s="55" t="s">
        <v>50</v>
      </c>
      <c r="V30" s="120" t="s">
        <v>490</v>
      </c>
      <c r="W30" s="97">
        <v>60</v>
      </c>
      <c r="X30" s="55" t="s">
        <v>15</v>
      </c>
    </row>
    <row r="31" spans="1:24">
      <c r="P31" s="33" t="s">
        <v>146</v>
      </c>
      <c r="Q31" t="s">
        <v>389</v>
      </c>
      <c r="R31">
        <v>30</v>
      </c>
      <c r="S31" t="s">
        <v>15</v>
      </c>
      <c r="U31" s="55" t="s">
        <v>50</v>
      </c>
      <c r="V31" s="120" t="s">
        <v>491</v>
      </c>
      <c r="W31" s="97">
        <v>60</v>
      </c>
      <c r="X31" s="55" t="s">
        <v>15</v>
      </c>
    </row>
    <row r="32" spans="1:24">
      <c r="P32" s="14" t="s">
        <v>50</v>
      </c>
      <c r="Q32" s="23" t="s">
        <v>87</v>
      </c>
      <c r="R32" s="14">
        <v>30</v>
      </c>
      <c r="S32" s="14" t="s">
        <v>15</v>
      </c>
      <c r="U32" s="55" t="s">
        <v>50</v>
      </c>
      <c r="V32" s="120" t="s">
        <v>492</v>
      </c>
      <c r="W32" s="97">
        <v>60</v>
      </c>
      <c r="X32" s="55" t="s">
        <v>15</v>
      </c>
    </row>
    <row r="33" spans="16:24">
      <c r="P33" s="14" t="s">
        <v>180</v>
      </c>
      <c r="Q33" s="23" t="s">
        <v>87</v>
      </c>
      <c r="R33" s="14">
        <v>30</v>
      </c>
      <c r="S33" s="14" t="s">
        <v>15</v>
      </c>
      <c r="U33" s="55" t="s">
        <v>50</v>
      </c>
      <c r="V33" s="120" t="s">
        <v>493</v>
      </c>
      <c r="W33" s="97">
        <v>60</v>
      </c>
      <c r="X33" s="55" t="s">
        <v>15</v>
      </c>
    </row>
    <row r="34" spans="16:24">
      <c r="P34" s="14" t="s">
        <v>181</v>
      </c>
      <c r="Q34" s="23" t="s">
        <v>87</v>
      </c>
      <c r="R34" s="14">
        <v>30</v>
      </c>
      <c r="S34" s="14" t="s">
        <v>15</v>
      </c>
      <c r="U34" s="55" t="s">
        <v>50</v>
      </c>
      <c r="V34" s="120" t="s">
        <v>494</v>
      </c>
      <c r="W34" s="97">
        <v>60</v>
      </c>
      <c r="X34" s="55" t="s">
        <v>15</v>
      </c>
    </row>
    <row r="35" spans="16:24">
      <c r="P35" s="14" t="s">
        <v>182</v>
      </c>
      <c r="Q35" s="23" t="s">
        <v>87</v>
      </c>
      <c r="R35" s="14">
        <v>30</v>
      </c>
      <c r="S35" s="14" t="s">
        <v>15</v>
      </c>
      <c r="U35" s="55" t="s">
        <v>50</v>
      </c>
      <c r="V35" s="120" t="s">
        <v>495</v>
      </c>
      <c r="W35" s="97">
        <v>60</v>
      </c>
      <c r="X35" s="55" t="s">
        <v>15</v>
      </c>
    </row>
    <row r="36" spans="16:24">
      <c r="P36" s="14" t="s">
        <v>183</v>
      </c>
      <c r="Q36" s="23" t="s">
        <v>87</v>
      </c>
      <c r="R36" s="14">
        <v>30</v>
      </c>
      <c r="S36" s="14" t="s">
        <v>15</v>
      </c>
      <c r="U36" s="55" t="s">
        <v>50</v>
      </c>
      <c r="V36" s="120" t="s">
        <v>496</v>
      </c>
      <c r="W36" s="55">
        <v>30</v>
      </c>
      <c r="X36" s="55" t="s">
        <v>15</v>
      </c>
    </row>
    <row r="37" spans="16:24">
      <c r="P37" s="14" t="s">
        <v>184</v>
      </c>
      <c r="Q37" s="23" t="s">
        <v>87</v>
      </c>
      <c r="R37" s="14">
        <v>30</v>
      </c>
      <c r="S37" s="14" t="s">
        <v>15</v>
      </c>
      <c r="U37" s="55" t="s">
        <v>50</v>
      </c>
      <c r="V37" s="120" t="s">
        <v>497</v>
      </c>
      <c r="W37" s="97">
        <v>60</v>
      </c>
      <c r="X37" s="55" t="s">
        <v>15</v>
      </c>
    </row>
    <row r="38" spans="16:24">
      <c r="P38" s="14" t="s">
        <v>185</v>
      </c>
      <c r="Q38" s="23" t="s">
        <v>87</v>
      </c>
      <c r="R38" s="14">
        <v>30</v>
      </c>
      <c r="S38" s="14" t="s">
        <v>15</v>
      </c>
      <c r="U38" s="55" t="s">
        <v>50</v>
      </c>
      <c r="V38" s="120" t="s">
        <v>498</v>
      </c>
      <c r="W38" s="97">
        <v>60</v>
      </c>
      <c r="X38" s="55" t="s">
        <v>15</v>
      </c>
    </row>
    <row r="39" spans="16:24">
      <c r="P39" s="14"/>
      <c r="Q39" s="23"/>
      <c r="R39" s="14" t="s">
        <v>353</v>
      </c>
      <c r="S39" s="14" t="s">
        <v>353</v>
      </c>
      <c r="U39" s="55" t="s">
        <v>50</v>
      </c>
      <c r="V39" s="120" t="s">
        <v>489</v>
      </c>
      <c r="W39" s="97">
        <v>60</v>
      </c>
      <c r="X39" s="55" t="s">
        <v>15</v>
      </c>
    </row>
    <row r="40" spans="16:24">
      <c r="P40" s="14" t="s">
        <v>129</v>
      </c>
      <c r="Q40" s="14" t="s">
        <v>354</v>
      </c>
      <c r="R40" s="14">
        <v>30</v>
      </c>
      <c r="S40" s="14" t="s">
        <v>25</v>
      </c>
      <c r="U40" s="55" t="s">
        <v>51</v>
      </c>
      <c r="V40" s="55" t="s">
        <v>88</v>
      </c>
      <c r="W40" s="55">
        <v>30</v>
      </c>
      <c r="X40" s="55" t="s">
        <v>15</v>
      </c>
    </row>
    <row r="41" spans="16:24">
      <c r="P41" s="14" t="s">
        <v>52</v>
      </c>
      <c r="Q41" s="23" t="s">
        <v>355</v>
      </c>
      <c r="R41" s="14">
        <v>30</v>
      </c>
      <c r="S41" s="14" t="s">
        <v>25</v>
      </c>
      <c r="U41" s="55" t="s">
        <v>51</v>
      </c>
      <c r="V41" s="55" t="s">
        <v>89</v>
      </c>
      <c r="W41" s="55">
        <v>30</v>
      </c>
      <c r="X41" s="55" t="s">
        <v>15</v>
      </c>
    </row>
    <row r="42" spans="16:24">
      <c r="P42" s="14" t="s">
        <v>53</v>
      </c>
      <c r="Q42" s="23"/>
      <c r="R42" s="23"/>
      <c r="S42" s="23"/>
      <c r="U42" s="55" t="s">
        <v>51</v>
      </c>
      <c r="V42" s="55" t="s">
        <v>271</v>
      </c>
      <c r="W42" s="55">
        <v>30</v>
      </c>
      <c r="X42" s="55" t="s">
        <v>15</v>
      </c>
    </row>
    <row r="43" spans="16:24">
      <c r="P43" s="23" t="s">
        <v>54</v>
      </c>
      <c r="Q43" s="23" t="s">
        <v>356</v>
      </c>
      <c r="R43" s="14">
        <v>30</v>
      </c>
      <c r="S43" s="14" t="s">
        <v>15</v>
      </c>
      <c r="U43" s="55" t="s">
        <v>51</v>
      </c>
      <c r="V43" s="55" t="s">
        <v>91</v>
      </c>
      <c r="W43" s="55">
        <v>30</v>
      </c>
      <c r="X43" s="55" t="s">
        <v>15</v>
      </c>
    </row>
    <row r="44" spans="16:24">
      <c r="P44" s="14" t="s">
        <v>55</v>
      </c>
      <c r="Q44" s="23" t="s">
        <v>357</v>
      </c>
      <c r="R44" s="14">
        <v>30</v>
      </c>
      <c r="S44" s="14" t="s">
        <v>25</v>
      </c>
      <c r="U44" s="55" t="s">
        <v>51</v>
      </c>
      <c r="V44" s="55" t="s">
        <v>344</v>
      </c>
      <c r="W44" s="55">
        <v>30</v>
      </c>
      <c r="X44" s="55" t="s">
        <v>15</v>
      </c>
    </row>
    <row r="45" spans="16:24" ht="15" customHeight="1">
      <c r="P45" s="33" t="s">
        <v>56</v>
      </c>
      <c r="Q45" s="70" t="s">
        <v>367</v>
      </c>
      <c r="R45" s="14">
        <v>30</v>
      </c>
      <c r="S45" s="14" t="s">
        <v>25</v>
      </c>
      <c r="U45" s="55" t="s">
        <v>51</v>
      </c>
      <c r="V45" s="55" t="s">
        <v>345</v>
      </c>
      <c r="W45" s="55">
        <v>30</v>
      </c>
      <c r="X45" s="55" t="s">
        <v>15</v>
      </c>
    </row>
    <row r="46" spans="16:24">
      <c r="P46" s="14"/>
      <c r="Q46" s="23"/>
      <c r="R46" s="14"/>
      <c r="S46" s="14" t="s">
        <v>353</v>
      </c>
      <c r="U46" s="55" t="s">
        <v>51</v>
      </c>
      <c r="V46" s="97" t="s">
        <v>346</v>
      </c>
      <c r="W46" s="55">
        <v>30</v>
      </c>
      <c r="X46" s="55" t="s">
        <v>15</v>
      </c>
    </row>
    <row r="47" spans="16:24">
      <c r="P47" s="14" t="s">
        <v>12</v>
      </c>
      <c r="Q47" s="23" t="s">
        <v>450</v>
      </c>
      <c r="R47" s="14">
        <v>30</v>
      </c>
      <c r="S47" s="14" t="s">
        <v>15</v>
      </c>
      <c r="U47" s="55" t="s">
        <v>51</v>
      </c>
      <c r="V47" s="97" t="s">
        <v>348</v>
      </c>
      <c r="W47" s="55">
        <v>30</v>
      </c>
      <c r="X47" s="55" t="s">
        <v>15</v>
      </c>
    </row>
    <row r="48" spans="16:24">
      <c r="P48" s="14" t="s">
        <v>186</v>
      </c>
      <c r="Q48" s="14" t="s">
        <v>358</v>
      </c>
      <c r="R48" s="14">
        <v>30</v>
      </c>
      <c r="S48" s="14" t="s">
        <v>25</v>
      </c>
      <c r="U48" s="55" t="s">
        <v>51</v>
      </c>
      <c r="V48" s="97" t="s">
        <v>349</v>
      </c>
      <c r="W48" s="55">
        <v>30</v>
      </c>
      <c r="X48" s="55" t="s">
        <v>15</v>
      </c>
    </row>
    <row r="49" spans="16:24">
      <c r="P49" s="14" t="s">
        <v>187</v>
      </c>
      <c r="Q49" s="14" t="s">
        <v>358</v>
      </c>
      <c r="R49" s="14">
        <v>30</v>
      </c>
      <c r="S49" s="14" t="s">
        <v>25</v>
      </c>
      <c r="U49" s="55" t="s">
        <v>51</v>
      </c>
      <c r="V49" s="97" t="s">
        <v>350</v>
      </c>
      <c r="W49" s="55">
        <v>30</v>
      </c>
      <c r="X49" s="55" t="s">
        <v>15</v>
      </c>
    </row>
    <row r="50" spans="16:24">
      <c r="P50" s="14" t="s">
        <v>188</v>
      </c>
      <c r="Q50" s="14" t="s">
        <v>358</v>
      </c>
      <c r="R50" s="14">
        <v>30</v>
      </c>
      <c r="S50" s="14" t="s">
        <v>25</v>
      </c>
      <c r="U50" s="55" t="s">
        <v>51</v>
      </c>
      <c r="V50" s="97" t="s">
        <v>351</v>
      </c>
      <c r="W50" s="55">
        <v>60</v>
      </c>
      <c r="X50" s="55" t="s">
        <v>15</v>
      </c>
    </row>
    <row r="51" spans="16:24">
      <c r="P51" s="14" t="s">
        <v>189</v>
      </c>
      <c r="Q51" s="14" t="s">
        <v>358</v>
      </c>
      <c r="R51" s="14">
        <v>30</v>
      </c>
      <c r="S51" s="14" t="s">
        <v>25</v>
      </c>
      <c r="U51" s="55" t="s">
        <v>51</v>
      </c>
      <c r="V51" s="97" t="s">
        <v>352</v>
      </c>
      <c r="W51" s="55">
        <v>30</v>
      </c>
      <c r="X51" s="55" t="s">
        <v>15</v>
      </c>
    </row>
    <row r="52" spans="16:24">
      <c r="P52" s="14" t="s">
        <v>168</v>
      </c>
      <c r="Q52" s="23" t="s">
        <v>459</v>
      </c>
      <c r="R52" s="14">
        <v>60</v>
      </c>
      <c r="S52" s="14" t="s">
        <v>15</v>
      </c>
      <c r="U52" s="55" t="s">
        <v>51</v>
      </c>
      <c r="V52" s="97" t="s">
        <v>386</v>
      </c>
      <c r="W52" s="55">
        <v>30</v>
      </c>
      <c r="X52" s="55" t="s">
        <v>15</v>
      </c>
    </row>
    <row r="53" spans="16:24">
      <c r="P53" s="14" t="s">
        <v>60</v>
      </c>
      <c r="Q53" s="14" t="s">
        <v>359</v>
      </c>
      <c r="R53" s="14">
        <v>30</v>
      </c>
      <c r="S53" s="14" t="s">
        <v>25</v>
      </c>
      <c r="U53" s="55" t="s">
        <v>51</v>
      </c>
      <c r="V53" s="97" t="s">
        <v>387</v>
      </c>
      <c r="W53" s="55">
        <v>30</v>
      </c>
      <c r="X53" s="55" t="s">
        <v>15</v>
      </c>
    </row>
    <row r="54" spans="16:24">
      <c r="U54" s="55" t="s">
        <v>129</v>
      </c>
      <c r="V54" s="55" t="s">
        <v>250</v>
      </c>
      <c r="W54" s="55">
        <v>30</v>
      </c>
      <c r="X54" s="55" t="s">
        <v>15</v>
      </c>
    </row>
    <row r="55" spans="16:24">
      <c r="P55" s="14" t="s">
        <v>50</v>
      </c>
      <c r="Q55" s="23" t="s">
        <v>334</v>
      </c>
      <c r="R55" s="23">
        <v>30</v>
      </c>
      <c r="S55" s="23" t="s">
        <v>25</v>
      </c>
      <c r="U55" s="55" t="s">
        <v>129</v>
      </c>
      <c r="V55" s="97" t="s">
        <v>264</v>
      </c>
      <c r="W55" s="55">
        <v>30</v>
      </c>
      <c r="X55" s="55" t="s">
        <v>15</v>
      </c>
    </row>
    <row r="56" spans="16:24">
      <c r="P56" s="14" t="s">
        <v>180</v>
      </c>
      <c r="Q56" s="23" t="s">
        <v>334</v>
      </c>
      <c r="R56" s="23">
        <v>30</v>
      </c>
      <c r="S56" s="23" t="s">
        <v>25</v>
      </c>
      <c r="U56" s="55" t="s">
        <v>129</v>
      </c>
      <c r="V56" s="97" t="s">
        <v>272</v>
      </c>
      <c r="W56" s="55">
        <v>30</v>
      </c>
      <c r="X56" s="55" t="s">
        <v>15</v>
      </c>
    </row>
    <row r="57" spans="16:24">
      <c r="P57" s="14" t="s">
        <v>181</v>
      </c>
      <c r="Q57" s="23" t="s">
        <v>334</v>
      </c>
      <c r="R57" s="23">
        <v>30</v>
      </c>
      <c r="S57" s="23" t="s">
        <v>25</v>
      </c>
      <c r="U57" s="55" t="s">
        <v>129</v>
      </c>
      <c r="V57" s="97" t="s">
        <v>281</v>
      </c>
      <c r="W57" s="55">
        <v>30</v>
      </c>
      <c r="X57" s="55" t="s">
        <v>15</v>
      </c>
    </row>
    <row r="58" spans="16:24">
      <c r="P58" s="14" t="s">
        <v>182</v>
      </c>
      <c r="Q58" s="23" t="s">
        <v>334</v>
      </c>
      <c r="R58" s="23">
        <v>30</v>
      </c>
      <c r="S58" s="23" t="s">
        <v>25</v>
      </c>
      <c r="U58" s="55" t="s">
        <v>52</v>
      </c>
      <c r="V58" s="55" t="s">
        <v>96</v>
      </c>
      <c r="W58" s="55">
        <v>30</v>
      </c>
      <c r="X58" s="55" t="s">
        <v>15</v>
      </c>
    </row>
    <row r="59" spans="16:24">
      <c r="P59" s="14" t="s">
        <v>183</v>
      </c>
      <c r="Q59" s="23" t="s">
        <v>334</v>
      </c>
      <c r="R59" s="23">
        <v>30</v>
      </c>
      <c r="S59" s="23" t="s">
        <v>25</v>
      </c>
      <c r="U59" s="55" t="s">
        <v>52</v>
      </c>
      <c r="V59" s="55" t="s">
        <v>133</v>
      </c>
      <c r="W59" s="55">
        <v>30</v>
      </c>
      <c r="X59" s="55" t="s">
        <v>15</v>
      </c>
    </row>
    <row r="60" spans="16:24">
      <c r="P60" s="14" t="s">
        <v>184</v>
      </c>
      <c r="Q60" s="23" t="s">
        <v>334</v>
      </c>
      <c r="R60" s="23">
        <v>30</v>
      </c>
      <c r="S60" s="23" t="s">
        <v>25</v>
      </c>
      <c r="U60" s="55" t="s">
        <v>52</v>
      </c>
      <c r="V60" s="55" t="s">
        <v>97</v>
      </c>
      <c r="W60" s="55">
        <v>30</v>
      </c>
      <c r="X60" s="55" t="s">
        <v>15</v>
      </c>
    </row>
    <row r="61" spans="16:24">
      <c r="P61" s="14" t="s">
        <v>185</v>
      </c>
      <c r="Q61" s="23" t="s">
        <v>334</v>
      </c>
      <c r="R61" s="23">
        <v>30</v>
      </c>
      <c r="S61" s="23" t="s">
        <v>25</v>
      </c>
      <c r="U61" s="55" t="s">
        <v>52</v>
      </c>
      <c r="V61" s="55" t="s">
        <v>98</v>
      </c>
      <c r="W61" s="55">
        <v>30</v>
      </c>
      <c r="X61" s="55" t="s">
        <v>15</v>
      </c>
    </row>
    <row r="62" spans="16:24">
      <c r="P62" s="14"/>
      <c r="Q62" s="23"/>
      <c r="R62" s="14"/>
      <c r="S62" s="14"/>
      <c r="U62" s="55" t="s">
        <v>52</v>
      </c>
      <c r="V62" s="55" t="s">
        <v>99</v>
      </c>
      <c r="W62" s="55">
        <v>30</v>
      </c>
      <c r="X62" s="55" t="s">
        <v>15</v>
      </c>
    </row>
    <row r="63" spans="16:24">
      <c r="P63" s="14"/>
      <c r="Q63" s="23"/>
      <c r="R63" s="14"/>
      <c r="S63" s="14"/>
      <c r="U63" s="55" t="s">
        <v>52</v>
      </c>
      <c r="V63" s="55" t="s">
        <v>100</v>
      </c>
      <c r="W63" s="55">
        <v>30</v>
      </c>
      <c r="X63" s="55" t="s">
        <v>15</v>
      </c>
    </row>
    <row r="64" spans="16:24">
      <c r="P64" s="14"/>
      <c r="Q64" s="23"/>
      <c r="R64" s="14"/>
      <c r="S64" s="14"/>
      <c r="U64" s="55" t="s">
        <v>52</v>
      </c>
      <c r="V64" s="55" t="s">
        <v>101</v>
      </c>
      <c r="W64" s="55">
        <v>30</v>
      </c>
      <c r="X64" s="55" t="s">
        <v>15</v>
      </c>
    </row>
    <row r="65" spans="16:24">
      <c r="P65" s="14"/>
      <c r="Q65" s="23"/>
      <c r="R65" s="14"/>
      <c r="S65" s="14"/>
      <c r="T65" t="s">
        <v>353</v>
      </c>
      <c r="U65" s="55" t="s">
        <v>52</v>
      </c>
      <c r="V65" s="97" t="s">
        <v>309</v>
      </c>
      <c r="W65" s="55">
        <v>30</v>
      </c>
      <c r="X65" s="55" t="s">
        <v>15</v>
      </c>
    </row>
    <row r="66" spans="16:24">
      <c r="P66" s="14"/>
      <c r="Q66" s="23"/>
      <c r="R66" s="14"/>
      <c r="S66" s="14"/>
      <c r="U66" s="55" t="s">
        <v>52</v>
      </c>
      <c r="V66" s="97" t="s">
        <v>314</v>
      </c>
      <c r="W66" s="55">
        <v>30</v>
      </c>
      <c r="X66" s="55" t="s">
        <v>15</v>
      </c>
    </row>
    <row r="67" spans="16:24">
      <c r="P67" s="14"/>
      <c r="Q67" s="23"/>
      <c r="R67" s="14"/>
      <c r="S67" s="14"/>
      <c r="U67" s="55" t="s">
        <v>52</v>
      </c>
      <c r="V67" s="97" t="s">
        <v>319</v>
      </c>
      <c r="W67" s="55">
        <v>30</v>
      </c>
      <c r="X67" s="55" t="s">
        <v>15</v>
      </c>
    </row>
    <row r="68" spans="16:24">
      <c r="P68" s="14"/>
      <c r="Q68" s="23"/>
      <c r="R68" s="14"/>
      <c r="S68" s="14"/>
      <c r="U68" s="55" t="s">
        <v>52</v>
      </c>
      <c r="V68" s="97" t="s">
        <v>322</v>
      </c>
      <c r="W68" s="55">
        <v>30</v>
      </c>
      <c r="X68" s="55" t="s">
        <v>15</v>
      </c>
    </row>
    <row r="69" spans="16:24">
      <c r="P69" s="23"/>
      <c r="Q69" s="23"/>
      <c r="R69" s="14"/>
      <c r="S69" s="14"/>
      <c r="U69" s="55" t="s">
        <v>52</v>
      </c>
      <c r="V69" s="54" t="s">
        <v>417</v>
      </c>
      <c r="W69" s="97">
        <v>60</v>
      </c>
      <c r="X69" s="55" t="s">
        <v>15</v>
      </c>
    </row>
    <row r="70" spans="16:24">
      <c r="P70" s="14"/>
      <c r="Q70" s="23"/>
      <c r="R70" s="14"/>
      <c r="S70" s="14"/>
      <c r="U70" s="55" t="s">
        <v>52</v>
      </c>
      <c r="V70" s="54" t="s">
        <v>418</v>
      </c>
      <c r="W70" s="97">
        <v>60</v>
      </c>
      <c r="X70" s="55" t="s">
        <v>15</v>
      </c>
    </row>
    <row r="71" spans="16:24">
      <c r="P71" s="23" t="s">
        <v>56</v>
      </c>
      <c r="Q71" s="23" t="s">
        <v>446</v>
      </c>
      <c r="R71" s="14">
        <v>60</v>
      </c>
      <c r="S71" s="14" t="s">
        <v>15</v>
      </c>
      <c r="U71" s="55" t="s">
        <v>52</v>
      </c>
      <c r="V71" s="54" t="s">
        <v>419</v>
      </c>
      <c r="W71" s="97">
        <v>60</v>
      </c>
      <c r="X71" s="55" t="s">
        <v>15</v>
      </c>
    </row>
    <row r="72" spans="16:24">
      <c r="P72" s="14" t="s">
        <v>57</v>
      </c>
      <c r="Q72" s="23"/>
      <c r="R72" s="14" t="s">
        <v>353</v>
      </c>
      <c r="S72" s="14" t="s">
        <v>353</v>
      </c>
      <c r="U72" s="55" t="s">
        <v>52</v>
      </c>
      <c r="V72" s="54" t="s">
        <v>420</v>
      </c>
      <c r="W72" s="97">
        <v>30</v>
      </c>
      <c r="X72" s="55" t="s">
        <v>15</v>
      </c>
    </row>
    <row r="73" spans="16:24">
      <c r="P73" s="14" t="s">
        <v>12</v>
      </c>
      <c r="Q73" s="23" t="s">
        <v>451</v>
      </c>
      <c r="R73" s="14">
        <v>60</v>
      </c>
      <c r="S73" s="14" t="s">
        <v>15</v>
      </c>
      <c r="U73" s="55" t="s">
        <v>52</v>
      </c>
      <c r="V73" s="54" t="s">
        <v>421</v>
      </c>
      <c r="W73" s="97">
        <v>30</v>
      </c>
      <c r="X73" s="55" t="s">
        <v>15</v>
      </c>
    </row>
    <row r="74" spans="16:24">
      <c r="P74" s="14" t="s">
        <v>186</v>
      </c>
      <c r="Q74" s="23"/>
      <c r="R74" s="14" t="s">
        <v>353</v>
      </c>
      <c r="S74" s="14" t="s">
        <v>353</v>
      </c>
      <c r="U74" s="55" t="s">
        <v>53</v>
      </c>
      <c r="V74" s="97" t="s">
        <v>20</v>
      </c>
      <c r="W74" s="55">
        <v>30</v>
      </c>
      <c r="X74" s="55" t="s">
        <v>15</v>
      </c>
    </row>
    <row r="75" spans="16:24">
      <c r="P75" s="14"/>
      <c r="Q75" s="23"/>
      <c r="R75" s="14"/>
      <c r="S75" s="14"/>
      <c r="U75" s="55" t="s">
        <v>53</v>
      </c>
      <c r="V75" s="55" t="s">
        <v>21</v>
      </c>
      <c r="W75" s="55">
        <v>30</v>
      </c>
      <c r="X75" s="55" t="s">
        <v>15</v>
      </c>
    </row>
    <row r="76" spans="16:24">
      <c r="P76" s="14"/>
      <c r="Q76" s="23"/>
      <c r="R76" s="14"/>
      <c r="S76" s="14"/>
      <c r="U76" s="55" t="s">
        <v>53</v>
      </c>
      <c r="V76" s="55" t="s">
        <v>22</v>
      </c>
      <c r="W76" s="55">
        <v>30</v>
      </c>
      <c r="X76" s="55" t="s">
        <v>15</v>
      </c>
    </row>
    <row r="77" spans="16:24">
      <c r="P77" s="14"/>
      <c r="Q77" s="23"/>
      <c r="R77" s="14"/>
      <c r="S77" s="14"/>
      <c r="U77" s="55" t="s">
        <v>53</v>
      </c>
      <c r="V77" s="55" t="s">
        <v>282</v>
      </c>
      <c r="W77" s="55">
        <v>30</v>
      </c>
      <c r="X77" s="55" t="s">
        <v>15</v>
      </c>
    </row>
    <row r="78" spans="16:24">
      <c r="P78" s="14"/>
      <c r="Q78" s="23"/>
      <c r="R78" s="14"/>
      <c r="S78" s="14"/>
      <c r="U78" s="55" t="s">
        <v>53</v>
      </c>
      <c r="V78" s="55" t="s">
        <v>24</v>
      </c>
      <c r="W78" s="55">
        <v>30</v>
      </c>
      <c r="X78" s="55" t="s">
        <v>15</v>
      </c>
    </row>
    <row r="79" spans="16:24">
      <c r="P79" s="14"/>
      <c r="Q79" s="23"/>
      <c r="R79" s="14"/>
      <c r="S79" s="14"/>
      <c r="U79" s="55" t="s">
        <v>53</v>
      </c>
      <c r="V79" s="97" t="s">
        <v>43</v>
      </c>
      <c r="W79" s="55">
        <v>60</v>
      </c>
      <c r="X79" s="55" t="s">
        <v>15</v>
      </c>
    </row>
    <row r="80" spans="16:24">
      <c r="P80" s="14"/>
      <c r="Q80" s="23"/>
      <c r="R80" s="14"/>
      <c r="S80" s="14"/>
      <c r="U80" s="55" t="s">
        <v>53</v>
      </c>
      <c r="V80" s="55" t="s">
        <v>44</v>
      </c>
      <c r="W80" s="55">
        <v>60</v>
      </c>
      <c r="X80" s="55" t="s">
        <v>15</v>
      </c>
    </row>
    <row r="81" spans="16:24">
      <c r="P81" s="14" t="s">
        <v>187</v>
      </c>
      <c r="Q81" s="23"/>
      <c r="R81" s="14" t="s">
        <v>353</v>
      </c>
      <c r="S81" s="14" t="s">
        <v>353</v>
      </c>
      <c r="U81" s="55" t="s">
        <v>53</v>
      </c>
      <c r="V81" s="55" t="s">
        <v>45</v>
      </c>
      <c r="W81" s="55">
        <v>60</v>
      </c>
      <c r="X81" s="55" t="s">
        <v>15</v>
      </c>
    </row>
    <row r="82" spans="16:24">
      <c r="P82" s="14" t="s">
        <v>188</v>
      </c>
      <c r="Q82" s="23"/>
      <c r="R82" s="14" t="s">
        <v>353</v>
      </c>
      <c r="S82" s="14" t="s">
        <v>353</v>
      </c>
      <c r="U82" s="55" t="s">
        <v>53</v>
      </c>
      <c r="V82" s="55" t="s">
        <v>287</v>
      </c>
      <c r="W82" s="55">
        <v>30</v>
      </c>
      <c r="X82" s="55" t="s">
        <v>15</v>
      </c>
    </row>
    <row r="83" spans="16:24">
      <c r="P83" s="14" t="s">
        <v>189</v>
      </c>
      <c r="Q83" s="23"/>
      <c r="R83" s="14" t="s">
        <v>353</v>
      </c>
      <c r="S83" s="14" t="s">
        <v>353</v>
      </c>
      <c r="U83" s="55" t="s">
        <v>53</v>
      </c>
      <c r="V83" s="55" t="s">
        <v>47</v>
      </c>
      <c r="W83" s="55">
        <v>30</v>
      </c>
      <c r="X83" s="55" t="s">
        <v>15</v>
      </c>
    </row>
    <row r="84" spans="16:24">
      <c r="P84" s="14" t="s">
        <v>59</v>
      </c>
      <c r="Q84" s="23"/>
      <c r="R84" s="14" t="s">
        <v>353</v>
      </c>
      <c r="S84" s="14" t="s">
        <v>353</v>
      </c>
      <c r="U84" s="55" t="s">
        <v>53</v>
      </c>
      <c r="V84" s="55" t="s">
        <v>48</v>
      </c>
      <c r="W84" s="55">
        <v>30</v>
      </c>
      <c r="X84" s="55" t="s">
        <v>15</v>
      </c>
    </row>
    <row r="85" spans="16:24">
      <c r="P85" s="14" t="s">
        <v>60</v>
      </c>
      <c r="Q85" s="23"/>
      <c r="R85" s="14" t="s">
        <v>353</v>
      </c>
      <c r="S85" s="14" t="s">
        <v>353</v>
      </c>
      <c r="U85" s="55" t="s">
        <v>53</v>
      </c>
      <c r="V85" s="97" t="s">
        <v>360</v>
      </c>
      <c r="W85" s="97">
        <v>30</v>
      </c>
      <c r="X85" s="55" t="s">
        <v>15</v>
      </c>
    </row>
    <row r="86" spans="16:24">
      <c r="P86" s="33" t="s">
        <v>146</v>
      </c>
      <c r="Q86" s="23" t="s">
        <v>390</v>
      </c>
      <c r="R86" s="23">
        <v>30</v>
      </c>
      <c r="S86" s="23" t="s">
        <v>15</v>
      </c>
      <c r="U86" s="55" t="s">
        <v>53</v>
      </c>
      <c r="V86" s="54" t="s">
        <v>422</v>
      </c>
      <c r="W86" s="55">
        <v>30</v>
      </c>
      <c r="X86" s="55" t="s">
        <v>15</v>
      </c>
    </row>
    <row r="87" spans="16:24">
      <c r="U87" s="55" t="s">
        <v>53</v>
      </c>
      <c r="V87" s="54" t="s">
        <v>423</v>
      </c>
      <c r="W87" s="55">
        <v>30</v>
      </c>
      <c r="X87" s="55" t="s">
        <v>15</v>
      </c>
    </row>
    <row r="88" spans="16:24">
      <c r="U88" s="55" t="s">
        <v>53</v>
      </c>
      <c r="V88" s="54" t="s">
        <v>424</v>
      </c>
      <c r="W88" s="97">
        <v>30</v>
      </c>
      <c r="X88" s="55" t="s">
        <v>15</v>
      </c>
    </row>
    <row r="89" spans="16:24">
      <c r="U89" s="55" t="s">
        <v>54</v>
      </c>
      <c r="V89" s="55" t="s">
        <v>102</v>
      </c>
      <c r="W89" s="55">
        <v>30</v>
      </c>
      <c r="X89" s="55" t="s">
        <v>15</v>
      </c>
    </row>
    <row r="90" spans="16:24">
      <c r="U90" s="55" t="s">
        <v>54</v>
      </c>
      <c r="V90" s="55" t="s">
        <v>103</v>
      </c>
      <c r="W90" s="55">
        <v>30</v>
      </c>
      <c r="X90" s="55" t="s">
        <v>15</v>
      </c>
    </row>
    <row r="91" spans="16:24">
      <c r="U91" s="55" t="s">
        <v>54</v>
      </c>
      <c r="V91" s="55" t="s">
        <v>104</v>
      </c>
      <c r="W91" s="55">
        <v>30</v>
      </c>
      <c r="X91" s="55" t="s">
        <v>15</v>
      </c>
    </row>
    <row r="92" spans="16:24">
      <c r="U92" s="55" t="s">
        <v>54</v>
      </c>
      <c r="V92" s="55" t="s">
        <v>105</v>
      </c>
      <c r="W92" s="55">
        <v>30</v>
      </c>
      <c r="X92" s="55" t="s">
        <v>15</v>
      </c>
    </row>
    <row r="93" spans="16:24">
      <c r="P93" s="14" t="s">
        <v>50</v>
      </c>
      <c r="Q93" s="23" t="s">
        <v>412</v>
      </c>
      <c r="R93" s="23">
        <v>30</v>
      </c>
      <c r="S93" s="23" t="s">
        <v>15</v>
      </c>
      <c r="U93" s="55" t="s">
        <v>54</v>
      </c>
      <c r="V93" s="55" t="s">
        <v>106</v>
      </c>
      <c r="W93" s="55">
        <v>60</v>
      </c>
      <c r="X93" s="55" t="s">
        <v>15</v>
      </c>
    </row>
    <row r="94" spans="16:24">
      <c r="P94" s="14" t="s">
        <v>180</v>
      </c>
      <c r="Q94" s="23" t="s">
        <v>280</v>
      </c>
      <c r="R94" s="23">
        <v>60</v>
      </c>
      <c r="S94" s="23" t="s">
        <v>15</v>
      </c>
      <c r="U94" s="55" t="s">
        <v>54</v>
      </c>
      <c r="V94" s="55" t="s">
        <v>107</v>
      </c>
      <c r="W94" s="55">
        <v>60</v>
      </c>
      <c r="X94" s="55" t="s">
        <v>15</v>
      </c>
    </row>
    <row r="95" spans="16:24">
      <c r="P95" s="14" t="s">
        <v>181</v>
      </c>
      <c r="Q95" s="23" t="s">
        <v>279</v>
      </c>
      <c r="R95" s="14">
        <v>60</v>
      </c>
      <c r="S95" s="14" t="s">
        <v>15</v>
      </c>
      <c r="U95" s="55" t="s">
        <v>54</v>
      </c>
      <c r="V95" s="97" t="s">
        <v>304</v>
      </c>
      <c r="W95" s="55">
        <v>30</v>
      </c>
      <c r="X95" s="55" t="s">
        <v>15</v>
      </c>
    </row>
    <row r="96" spans="16:24">
      <c r="P96" s="14" t="s">
        <v>182</v>
      </c>
      <c r="Q96" s="23" t="s">
        <v>297</v>
      </c>
      <c r="R96" s="23">
        <v>60</v>
      </c>
      <c r="S96" s="14" t="s">
        <v>15</v>
      </c>
      <c r="U96" s="55" t="s">
        <v>54</v>
      </c>
      <c r="V96" s="97" t="s">
        <v>310</v>
      </c>
      <c r="W96" s="55">
        <v>60</v>
      </c>
      <c r="X96" s="55" t="s">
        <v>15</v>
      </c>
    </row>
    <row r="97" spans="16:24">
      <c r="P97" s="14" t="s">
        <v>183</v>
      </c>
      <c r="Q97" s="23" t="s">
        <v>295</v>
      </c>
      <c r="R97" s="23">
        <v>60</v>
      </c>
      <c r="S97" s="14" t="s">
        <v>15</v>
      </c>
      <c r="U97" s="55" t="s">
        <v>54</v>
      </c>
      <c r="V97" s="97" t="s">
        <v>315</v>
      </c>
      <c r="W97" s="55">
        <v>30</v>
      </c>
      <c r="X97" s="55" t="s">
        <v>15</v>
      </c>
    </row>
    <row r="98" spans="16:24">
      <c r="P98" s="14" t="s">
        <v>184</v>
      </c>
      <c r="Q98" s="23" t="s">
        <v>339</v>
      </c>
      <c r="R98" s="23">
        <v>60</v>
      </c>
      <c r="S98" s="14" t="s">
        <v>15</v>
      </c>
      <c r="U98" s="55" t="s">
        <v>54</v>
      </c>
      <c r="V98" s="97" t="s">
        <v>320</v>
      </c>
      <c r="W98" s="55">
        <v>30</v>
      </c>
      <c r="X98" s="55" t="s">
        <v>15</v>
      </c>
    </row>
    <row r="99" spans="16:24">
      <c r="P99" s="14" t="s">
        <v>185</v>
      </c>
      <c r="Q99" s="23" t="s">
        <v>296</v>
      </c>
      <c r="R99" s="23">
        <v>60</v>
      </c>
      <c r="S99" s="14" t="s">
        <v>15</v>
      </c>
      <c r="U99" s="55" t="s">
        <v>54</v>
      </c>
      <c r="V99" s="54" t="s">
        <v>427</v>
      </c>
      <c r="W99" s="55">
        <v>60</v>
      </c>
      <c r="X99" s="55" t="s">
        <v>15</v>
      </c>
    </row>
    <row r="100" spans="16:24">
      <c r="P100" s="14"/>
      <c r="Q100" s="23"/>
      <c r="R100" s="23"/>
      <c r="S100" s="23"/>
      <c r="U100" s="55" t="s">
        <v>54</v>
      </c>
      <c r="V100" s="54" t="s">
        <v>425</v>
      </c>
      <c r="W100" s="55">
        <v>30</v>
      </c>
      <c r="X100" s="55" t="s">
        <v>15</v>
      </c>
    </row>
    <row r="101" spans="16:24">
      <c r="P101" s="14"/>
      <c r="Q101" s="23"/>
      <c r="R101" s="23"/>
      <c r="S101" s="23"/>
      <c r="U101" s="55" t="s">
        <v>54</v>
      </c>
      <c r="V101" s="54" t="s">
        <v>428</v>
      </c>
      <c r="W101" s="55">
        <v>60</v>
      </c>
      <c r="X101" s="55" t="s">
        <v>15</v>
      </c>
    </row>
    <row r="102" spans="16:24">
      <c r="P102" s="14"/>
      <c r="Q102" s="23"/>
      <c r="R102" s="23"/>
      <c r="S102" s="23"/>
      <c r="U102" s="55" t="s">
        <v>54</v>
      </c>
      <c r="V102" s="54" t="s">
        <v>426</v>
      </c>
      <c r="W102" s="55">
        <v>60</v>
      </c>
      <c r="X102" s="55" t="s">
        <v>15</v>
      </c>
    </row>
    <row r="103" spans="16:24">
      <c r="P103" s="14"/>
      <c r="Q103" s="23"/>
      <c r="R103" s="23"/>
      <c r="S103" s="23"/>
      <c r="U103" s="55" t="s">
        <v>54</v>
      </c>
      <c r="V103" s="54" t="s">
        <v>429</v>
      </c>
      <c r="W103" s="55">
        <v>30</v>
      </c>
      <c r="X103" s="55" t="s">
        <v>15</v>
      </c>
    </row>
    <row r="104" spans="16:24">
      <c r="P104" s="23"/>
      <c r="Q104" s="23"/>
      <c r="R104" s="23"/>
      <c r="S104" s="23"/>
      <c r="U104" s="55" t="s">
        <v>54</v>
      </c>
      <c r="V104" s="54" t="s">
        <v>430</v>
      </c>
      <c r="W104" s="55">
        <v>60</v>
      </c>
      <c r="X104" s="55" t="s">
        <v>15</v>
      </c>
    </row>
    <row r="105" spans="16:24">
      <c r="P105" s="14"/>
      <c r="Q105" s="23"/>
      <c r="R105" s="23"/>
      <c r="S105" s="23"/>
      <c r="U105" s="55" t="s">
        <v>55</v>
      </c>
      <c r="V105" s="55" t="s">
        <v>251</v>
      </c>
      <c r="W105" s="55">
        <v>30</v>
      </c>
      <c r="X105" s="55" t="s">
        <v>15</v>
      </c>
    </row>
    <row r="106" spans="16:24">
      <c r="P106" s="14"/>
      <c r="Q106" s="23"/>
      <c r="R106" s="23"/>
      <c r="S106" s="23"/>
      <c r="U106" s="55" t="s">
        <v>55</v>
      </c>
      <c r="V106" s="55" t="s">
        <v>265</v>
      </c>
      <c r="W106" s="55">
        <v>30</v>
      </c>
      <c r="X106" s="55" t="s">
        <v>15</v>
      </c>
    </row>
    <row r="107" spans="16:24">
      <c r="P107" s="23"/>
      <c r="Q107" s="23"/>
      <c r="R107" s="23"/>
      <c r="S107" s="23"/>
      <c r="U107" s="55" t="s">
        <v>55</v>
      </c>
      <c r="V107" s="55" t="s">
        <v>273</v>
      </c>
      <c r="W107" s="55">
        <v>30</v>
      </c>
      <c r="X107" s="55" t="s">
        <v>15</v>
      </c>
    </row>
    <row r="108" spans="16:24">
      <c r="P108" s="14"/>
      <c r="Q108" s="23"/>
      <c r="R108" s="23"/>
      <c r="S108" s="23"/>
      <c r="U108" s="55" t="s">
        <v>55</v>
      </c>
      <c r="V108" s="55" t="s">
        <v>283</v>
      </c>
      <c r="W108" s="55">
        <v>30</v>
      </c>
      <c r="X108" s="55" t="s">
        <v>15</v>
      </c>
    </row>
    <row r="109" spans="16:24">
      <c r="P109" s="14"/>
      <c r="Q109" s="23"/>
      <c r="R109" s="23"/>
      <c r="S109" s="23"/>
      <c r="U109" s="55" t="s">
        <v>55</v>
      </c>
      <c r="V109" s="55" t="s">
        <v>113</v>
      </c>
      <c r="W109" s="55">
        <v>30</v>
      </c>
      <c r="X109" s="55" t="s">
        <v>15</v>
      </c>
    </row>
    <row r="110" spans="16:24">
      <c r="P110" s="14"/>
      <c r="Q110" s="23"/>
      <c r="R110" s="23"/>
      <c r="S110" s="23"/>
      <c r="U110" s="55" t="s">
        <v>55</v>
      </c>
      <c r="V110" s="97" t="s">
        <v>299</v>
      </c>
      <c r="W110" s="55">
        <v>60</v>
      </c>
      <c r="X110" s="55" t="s">
        <v>15</v>
      </c>
    </row>
    <row r="111" spans="16:24">
      <c r="P111" s="14"/>
      <c r="Q111" s="23"/>
      <c r="R111" s="23"/>
      <c r="S111" s="23"/>
      <c r="U111" s="55" t="s">
        <v>55</v>
      </c>
      <c r="V111" s="97" t="s">
        <v>305</v>
      </c>
      <c r="W111" s="55">
        <v>30</v>
      </c>
      <c r="X111" s="55" t="s">
        <v>15</v>
      </c>
    </row>
    <row r="112" spans="16:24">
      <c r="P112" s="14"/>
      <c r="Q112" s="23"/>
      <c r="R112" s="23"/>
      <c r="S112" s="23"/>
      <c r="U112" s="55" t="s">
        <v>55</v>
      </c>
      <c r="V112" s="97" t="s">
        <v>311</v>
      </c>
      <c r="W112" s="55">
        <v>60</v>
      </c>
      <c r="X112" s="55" t="s">
        <v>15</v>
      </c>
    </row>
    <row r="113" spans="16:24">
      <c r="P113" s="14"/>
      <c r="Q113" s="23"/>
      <c r="R113" s="23"/>
      <c r="S113" s="23"/>
      <c r="U113" s="55" t="s">
        <v>55</v>
      </c>
      <c r="V113" s="54" t="s">
        <v>431</v>
      </c>
      <c r="W113" s="55">
        <v>30</v>
      </c>
      <c r="X113" s="55" t="s">
        <v>15</v>
      </c>
    </row>
    <row r="114" spans="16:24">
      <c r="P114" s="14"/>
      <c r="Q114" s="23"/>
      <c r="R114" s="23"/>
      <c r="S114" s="23"/>
      <c r="U114" s="55" t="s">
        <v>55</v>
      </c>
      <c r="V114" s="54" t="s">
        <v>432</v>
      </c>
      <c r="W114" s="55">
        <v>30</v>
      </c>
      <c r="X114" s="55" t="s">
        <v>15</v>
      </c>
    </row>
    <row r="115" spans="16:24">
      <c r="P115" s="33" t="s">
        <v>146</v>
      </c>
      <c r="Q115" s="23" t="s">
        <v>391</v>
      </c>
      <c r="R115" s="23">
        <v>30</v>
      </c>
      <c r="S115" s="23" t="s">
        <v>15</v>
      </c>
      <c r="U115" s="55" t="s">
        <v>56</v>
      </c>
      <c r="V115" s="55" t="s">
        <v>115</v>
      </c>
      <c r="W115" s="55">
        <v>30</v>
      </c>
      <c r="X115" s="55" t="s">
        <v>15</v>
      </c>
    </row>
    <row r="116" spans="16:24">
      <c r="U116" s="55" t="s">
        <v>56</v>
      </c>
      <c r="V116" s="55" t="s">
        <v>116</v>
      </c>
      <c r="W116" s="55">
        <v>30</v>
      </c>
      <c r="X116" s="55" t="s">
        <v>15</v>
      </c>
    </row>
    <row r="117" spans="16:24">
      <c r="P117" s="33" t="s">
        <v>146</v>
      </c>
      <c r="Q117" t="s">
        <v>392</v>
      </c>
      <c r="R117" s="23">
        <v>30</v>
      </c>
      <c r="S117" s="23" t="s">
        <v>15</v>
      </c>
      <c r="U117" s="55" t="s">
        <v>56</v>
      </c>
      <c r="V117" s="55" t="s">
        <v>117</v>
      </c>
      <c r="W117" s="55">
        <v>30</v>
      </c>
      <c r="X117" s="55" t="s">
        <v>15</v>
      </c>
    </row>
    <row r="118" spans="16:24">
      <c r="P118" s="14" t="s">
        <v>180</v>
      </c>
      <c r="Q118" t="s">
        <v>412</v>
      </c>
      <c r="R118" s="102">
        <v>30</v>
      </c>
      <c r="S118" s="102" t="s">
        <v>15</v>
      </c>
      <c r="U118" s="55"/>
      <c r="V118" s="55"/>
      <c r="W118" s="55"/>
      <c r="X118" s="55"/>
    </row>
    <row r="119" spans="16:24">
      <c r="P119" s="14" t="s">
        <v>181</v>
      </c>
      <c r="Q119" t="s">
        <v>500</v>
      </c>
      <c r="R119" s="102">
        <v>60</v>
      </c>
      <c r="S119" s="102" t="s">
        <v>15</v>
      </c>
      <c r="U119" s="55"/>
      <c r="V119" s="55"/>
      <c r="W119" s="55"/>
      <c r="X119" s="55"/>
    </row>
    <row r="120" spans="16:24">
      <c r="P120" s="14" t="s">
        <v>182</v>
      </c>
      <c r="Q120" t="s">
        <v>412</v>
      </c>
      <c r="R120" s="102">
        <v>30</v>
      </c>
      <c r="S120" s="102" t="s">
        <v>15</v>
      </c>
      <c r="U120" s="55"/>
      <c r="V120" s="55"/>
      <c r="W120" s="55"/>
      <c r="X120" s="55"/>
    </row>
    <row r="121" spans="16:24">
      <c r="P121" s="14" t="s">
        <v>183</v>
      </c>
      <c r="Q121" t="s">
        <v>412</v>
      </c>
      <c r="R121" s="102">
        <v>30</v>
      </c>
      <c r="S121" s="102" t="s">
        <v>15</v>
      </c>
      <c r="U121" s="55"/>
      <c r="V121" s="55"/>
      <c r="W121" s="55"/>
      <c r="X121" s="55"/>
    </row>
    <row r="122" spans="16:24">
      <c r="P122" s="14" t="s">
        <v>184</v>
      </c>
      <c r="Q122" t="s">
        <v>412</v>
      </c>
      <c r="R122" s="102">
        <v>30</v>
      </c>
      <c r="S122" s="102" t="s">
        <v>15</v>
      </c>
      <c r="U122" s="55"/>
      <c r="V122" s="55"/>
      <c r="W122" s="55"/>
      <c r="X122" s="55"/>
    </row>
    <row r="123" spans="16:24">
      <c r="P123" s="14" t="s">
        <v>185</v>
      </c>
      <c r="Q123" t="s">
        <v>412</v>
      </c>
      <c r="R123" s="102">
        <v>30</v>
      </c>
      <c r="S123" s="102" t="s">
        <v>15</v>
      </c>
      <c r="U123" s="55" t="s">
        <v>56</v>
      </c>
      <c r="V123" s="55" t="s">
        <v>118</v>
      </c>
      <c r="W123" s="55">
        <v>30</v>
      </c>
      <c r="X123" s="55" t="s">
        <v>15</v>
      </c>
    </row>
    <row r="124" spans="16:24">
      <c r="P124" s="121"/>
      <c r="U124" s="55"/>
      <c r="V124" s="55"/>
      <c r="W124" s="55"/>
      <c r="X124" s="55"/>
    </row>
    <row r="125" spans="16:24">
      <c r="P125" s="33" t="s">
        <v>146</v>
      </c>
      <c r="Q125" t="s">
        <v>393</v>
      </c>
      <c r="R125" s="23">
        <v>30</v>
      </c>
      <c r="S125" s="23" t="s">
        <v>15</v>
      </c>
      <c r="U125" s="55" t="s">
        <v>56</v>
      </c>
      <c r="V125" s="55" t="s">
        <v>119</v>
      </c>
      <c r="W125" s="55">
        <v>30</v>
      </c>
      <c r="X125" s="55" t="s">
        <v>15</v>
      </c>
    </row>
    <row r="126" spans="16:24">
      <c r="P126" s="14" t="s">
        <v>181</v>
      </c>
      <c r="Q126" t="s">
        <v>412</v>
      </c>
      <c r="R126" s="102">
        <v>30</v>
      </c>
      <c r="S126" s="102" t="s">
        <v>15</v>
      </c>
      <c r="U126" s="55"/>
      <c r="V126" s="55"/>
      <c r="W126" s="55"/>
      <c r="X126" s="55"/>
    </row>
    <row r="127" spans="16:24">
      <c r="U127" s="55" t="s">
        <v>56</v>
      </c>
      <c r="V127" s="97" t="s">
        <v>274</v>
      </c>
      <c r="W127" s="55">
        <v>30</v>
      </c>
      <c r="X127" s="55" t="s">
        <v>15</v>
      </c>
    </row>
    <row r="128" spans="16:24">
      <c r="P128" s="33" t="s">
        <v>146</v>
      </c>
      <c r="Q128" t="s">
        <v>394</v>
      </c>
      <c r="R128" s="23">
        <v>30</v>
      </c>
      <c r="S128" s="23" t="s">
        <v>15</v>
      </c>
      <c r="U128" s="55" t="s">
        <v>56</v>
      </c>
      <c r="V128" s="97" t="s">
        <v>289</v>
      </c>
      <c r="W128" s="55">
        <v>30</v>
      </c>
      <c r="X128" s="55" t="s">
        <v>15</v>
      </c>
    </row>
    <row r="129" spans="16:24">
      <c r="U129" s="55" t="s">
        <v>56</v>
      </c>
      <c r="V129" s="97" t="s">
        <v>298</v>
      </c>
      <c r="W129" s="55">
        <v>60</v>
      </c>
      <c r="X129" s="55" t="s">
        <v>15</v>
      </c>
    </row>
    <row r="130" spans="16:24">
      <c r="P130" s="33" t="s">
        <v>146</v>
      </c>
      <c r="Q130" t="s">
        <v>395</v>
      </c>
      <c r="R130" s="23">
        <v>30</v>
      </c>
      <c r="S130" s="23" t="s">
        <v>15</v>
      </c>
      <c r="U130" s="55" t="s">
        <v>56</v>
      </c>
      <c r="V130" s="97" t="s">
        <v>303</v>
      </c>
      <c r="W130" s="97">
        <v>60</v>
      </c>
      <c r="X130" s="55" t="s">
        <v>15</v>
      </c>
    </row>
    <row r="131" spans="16:24">
      <c r="U131" s="55" t="s">
        <v>56</v>
      </c>
      <c r="V131" s="102" t="s">
        <v>447</v>
      </c>
      <c r="W131" s="101">
        <v>60</v>
      </c>
      <c r="X131" s="55" t="s">
        <v>15</v>
      </c>
    </row>
    <row r="132" spans="16:24">
      <c r="U132" s="55" t="s">
        <v>56</v>
      </c>
      <c r="V132" s="102" t="s">
        <v>448</v>
      </c>
      <c r="W132" s="101">
        <v>60</v>
      </c>
      <c r="X132" s="55" t="s">
        <v>15</v>
      </c>
    </row>
    <row r="133" spans="16:24">
      <c r="U133" s="55" t="s">
        <v>56</v>
      </c>
      <c r="V133" s="47" t="s">
        <v>449</v>
      </c>
      <c r="W133" s="101">
        <v>30</v>
      </c>
      <c r="X133" s="55" t="s">
        <v>15</v>
      </c>
    </row>
    <row r="134" spans="16:24">
      <c r="Q134" t="s">
        <v>353</v>
      </c>
      <c r="U134" s="55" t="s">
        <v>57</v>
      </c>
      <c r="V134" s="55" t="s">
        <v>253</v>
      </c>
      <c r="W134" s="55">
        <v>30</v>
      </c>
      <c r="X134" s="55" t="s">
        <v>15</v>
      </c>
    </row>
    <row r="135" spans="16:24">
      <c r="U135" s="55" t="s">
        <v>57</v>
      </c>
      <c r="V135" s="97" t="s">
        <v>140</v>
      </c>
      <c r="W135" s="55">
        <v>30</v>
      </c>
      <c r="X135" s="55" t="s">
        <v>15</v>
      </c>
    </row>
    <row r="136" spans="16:24">
      <c r="U136" s="55" t="s">
        <v>57</v>
      </c>
      <c r="V136" s="97" t="s">
        <v>141</v>
      </c>
      <c r="W136" s="55">
        <v>30</v>
      </c>
      <c r="X136" s="55" t="s">
        <v>15</v>
      </c>
    </row>
    <row r="137" spans="16:24">
      <c r="U137" s="55" t="s">
        <v>57</v>
      </c>
      <c r="V137" s="97" t="s">
        <v>142</v>
      </c>
      <c r="W137" s="55">
        <v>30</v>
      </c>
      <c r="X137" s="55" t="s">
        <v>15</v>
      </c>
    </row>
    <row r="138" spans="16:24">
      <c r="U138" s="55" t="s">
        <v>57</v>
      </c>
      <c r="V138" s="97" t="s">
        <v>290</v>
      </c>
      <c r="W138" s="55">
        <v>30</v>
      </c>
      <c r="X138" s="55" t="s">
        <v>15</v>
      </c>
    </row>
    <row r="139" spans="16:24">
      <c r="U139" s="55" t="s">
        <v>57</v>
      </c>
      <c r="V139" s="97" t="s">
        <v>143</v>
      </c>
      <c r="W139" s="55">
        <v>30</v>
      </c>
      <c r="X139" s="55" t="s">
        <v>15</v>
      </c>
    </row>
    <row r="140" spans="16:24">
      <c r="U140" s="55" t="s">
        <v>57</v>
      </c>
      <c r="V140" s="97" t="s">
        <v>306</v>
      </c>
      <c r="W140" s="55">
        <v>60</v>
      </c>
      <c r="X140" s="55" t="s">
        <v>15</v>
      </c>
    </row>
    <row r="141" spans="16:24">
      <c r="U141" s="55" t="s">
        <v>57</v>
      </c>
      <c r="V141" s="97" t="s">
        <v>144</v>
      </c>
      <c r="W141" s="55">
        <v>60</v>
      </c>
      <c r="X141" s="55" t="s">
        <v>15</v>
      </c>
    </row>
    <row r="142" spans="16:24">
      <c r="U142" s="55" t="s">
        <v>57</v>
      </c>
      <c r="V142" s="97" t="s">
        <v>316</v>
      </c>
      <c r="W142" s="55">
        <v>60</v>
      </c>
      <c r="X142" s="55" t="s">
        <v>15</v>
      </c>
    </row>
    <row r="143" spans="16:24">
      <c r="U143" s="55" t="s">
        <v>57</v>
      </c>
      <c r="V143" s="97" t="s">
        <v>145</v>
      </c>
      <c r="W143" s="55">
        <v>60</v>
      </c>
      <c r="X143" s="55" t="s">
        <v>15</v>
      </c>
    </row>
    <row r="144" spans="16:24">
      <c r="U144" s="55" t="s">
        <v>57</v>
      </c>
      <c r="V144" s="97" t="s">
        <v>323</v>
      </c>
      <c r="W144" s="55">
        <v>60</v>
      </c>
      <c r="X144" s="55" t="s">
        <v>15</v>
      </c>
    </row>
    <row r="145" spans="21:24">
      <c r="U145" s="55" t="s">
        <v>57</v>
      </c>
      <c r="V145" s="97" t="s">
        <v>324</v>
      </c>
      <c r="W145" s="55">
        <v>60</v>
      </c>
      <c r="X145" s="55" t="s">
        <v>15</v>
      </c>
    </row>
    <row r="146" spans="21:24">
      <c r="U146" s="55" t="s">
        <v>57</v>
      </c>
      <c r="V146" s="97" t="s">
        <v>325</v>
      </c>
      <c r="W146" s="55">
        <v>60</v>
      </c>
      <c r="X146" s="55" t="s">
        <v>15</v>
      </c>
    </row>
    <row r="147" spans="21:24">
      <c r="U147" s="55" t="s">
        <v>57</v>
      </c>
      <c r="V147" s="97" t="s">
        <v>326</v>
      </c>
      <c r="W147" s="55">
        <v>60</v>
      </c>
      <c r="X147" s="55" t="s">
        <v>15</v>
      </c>
    </row>
    <row r="148" spans="21:24">
      <c r="U148" s="55" t="s">
        <v>12</v>
      </c>
      <c r="V148" s="55" t="s">
        <v>31</v>
      </c>
      <c r="W148" s="55">
        <v>30</v>
      </c>
      <c r="X148" s="55" t="s">
        <v>15</v>
      </c>
    </row>
    <row r="149" spans="21:24">
      <c r="U149" s="55" t="s">
        <v>12</v>
      </c>
      <c r="V149" s="55" t="s">
        <v>32</v>
      </c>
      <c r="W149" s="55">
        <v>30</v>
      </c>
      <c r="X149" s="55" t="s">
        <v>15</v>
      </c>
    </row>
    <row r="150" spans="21:24">
      <c r="U150" s="55" t="s">
        <v>12</v>
      </c>
      <c r="V150" s="55" t="s">
        <v>33</v>
      </c>
      <c r="W150" s="55">
        <v>30</v>
      </c>
      <c r="X150" s="55" t="s">
        <v>15</v>
      </c>
    </row>
    <row r="151" spans="21:24">
      <c r="U151" s="55" t="s">
        <v>12</v>
      </c>
      <c r="V151" s="55" t="s">
        <v>34</v>
      </c>
      <c r="W151" s="55">
        <v>30</v>
      </c>
      <c r="X151" s="55" t="s">
        <v>15</v>
      </c>
    </row>
    <row r="152" spans="21:24">
      <c r="U152" s="55" t="s">
        <v>12</v>
      </c>
      <c r="V152" s="55" t="s">
        <v>35</v>
      </c>
      <c r="W152" s="55">
        <v>30</v>
      </c>
      <c r="X152" s="55" t="s">
        <v>15</v>
      </c>
    </row>
    <row r="153" spans="21:24">
      <c r="U153" s="55" t="s">
        <v>12</v>
      </c>
      <c r="V153" s="55" t="s">
        <v>36</v>
      </c>
      <c r="W153" s="55">
        <v>30</v>
      </c>
      <c r="X153" s="55" t="s">
        <v>15</v>
      </c>
    </row>
    <row r="154" spans="21:24">
      <c r="U154" s="55" t="s">
        <v>12</v>
      </c>
      <c r="V154" s="55" t="s">
        <v>37</v>
      </c>
      <c r="W154" s="55">
        <v>30</v>
      </c>
      <c r="X154" s="55" t="s">
        <v>15</v>
      </c>
    </row>
    <row r="155" spans="21:24">
      <c r="U155" s="55" t="s">
        <v>12</v>
      </c>
      <c r="V155" s="55" t="s">
        <v>362</v>
      </c>
      <c r="W155" s="55">
        <v>60</v>
      </c>
      <c r="X155" s="55" t="s">
        <v>15</v>
      </c>
    </row>
    <row r="156" spans="21:24">
      <c r="U156" s="55" t="s">
        <v>12</v>
      </c>
      <c r="V156" s="55" t="s">
        <v>39</v>
      </c>
      <c r="W156" s="55">
        <v>60</v>
      </c>
      <c r="X156" s="55" t="s">
        <v>15</v>
      </c>
    </row>
    <row r="157" spans="21:24">
      <c r="U157" s="55" t="s">
        <v>12</v>
      </c>
      <c r="V157" s="55" t="s">
        <v>363</v>
      </c>
      <c r="W157" s="55">
        <v>60</v>
      </c>
      <c r="X157" s="55" t="s">
        <v>15</v>
      </c>
    </row>
    <row r="158" spans="21:24">
      <c r="U158" s="55" t="s">
        <v>12</v>
      </c>
      <c r="V158" s="55" t="s">
        <v>364</v>
      </c>
      <c r="W158" s="55">
        <v>60</v>
      </c>
      <c r="X158" s="55" t="s">
        <v>15</v>
      </c>
    </row>
    <row r="159" spans="21:24">
      <c r="U159" s="55" t="s">
        <v>12</v>
      </c>
      <c r="V159" s="55" t="s">
        <v>365</v>
      </c>
      <c r="W159" s="55">
        <v>60</v>
      </c>
      <c r="X159" s="55" t="s">
        <v>15</v>
      </c>
    </row>
    <row r="160" spans="21:24">
      <c r="U160" s="55" t="s">
        <v>12</v>
      </c>
      <c r="V160" s="47" t="s">
        <v>452</v>
      </c>
      <c r="W160" s="55">
        <v>60</v>
      </c>
      <c r="X160" s="55" t="s">
        <v>15</v>
      </c>
    </row>
    <row r="161" spans="21:24">
      <c r="U161" s="55" t="s">
        <v>12</v>
      </c>
      <c r="V161" s="47" t="s">
        <v>453</v>
      </c>
      <c r="W161" s="55">
        <v>60</v>
      </c>
      <c r="X161" s="55" t="s">
        <v>15</v>
      </c>
    </row>
    <row r="162" spans="21:24">
      <c r="U162" s="55" t="s">
        <v>12</v>
      </c>
      <c r="V162" s="47" t="s">
        <v>454</v>
      </c>
      <c r="W162" s="55">
        <v>60</v>
      </c>
      <c r="X162" s="55" t="s">
        <v>15</v>
      </c>
    </row>
    <row r="163" spans="21:24">
      <c r="U163" s="55" t="s">
        <v>12</v>
      </c>
      <c r="V163" s="47" t="s">
        <v>455</v>
      </c>
      <c r="W163" s="55">
        <v>60</v>
      </c>
      <c r="X163" s="55" t="s">
        <v>15</v>
      </c>
    </row>
    <row r="164" spans="21:24">
      <c r="U164" s="55" t="s">
        <v>12</v>
      </c>
      <c r="V164" s="47" t="s">
        <v>456</v>
      </c>
      <c r="W164" s="55">
        <v>60</v>
      </c>
      <c r="X164" s="55" t="s">
        <v>15</v>
      </c>
    </row>
    <row r="165" spans="21:24">
      <c r="U165" s="55" t="s">
        <v>12</v>
      </c>
      <c r="V165" s="47" t="s">
        <v>457</v>
      </c>
      <c r="W165" s="55">
        <v>60</v>
      </c>
      <c r="X165" s="55" t="s">
        <v>15</v>
      </c>
    </row>
    <row r="166" spans="21:24">
      <c r="U166" s="55" t="s">
        <v>58</v>
      </c>
      <c r="V166" s="55" t="s">
        <v>120</v>
      </c>
      <c r="W166" s="55">
        <v>60</v>
      </c>
      <c r="X166" s="55" t="s">
        <v>15</v>
      </c>
    </row>
    <row r="167" spans="21:24">
      <c r="U167" s="55" t="s">
        <v>58</v>
      </c>
      <c r="V167" s="55" t="s">
        <v>121</v>
      </c>
      <c r="W167" s="55">
        <v>60</v>
      </c>
      <c r="X167" s="55" t="s">
        <v>15</v>
      </c>
    </row>
    <row r="168" spans="21:24">
      <c r="U168" s="55" t="s">
        <v>58</v>
      </c>
      <c r="V168" s="55" t="s">
        <v>275</v>
      </c>
      <c r="W168" s="55">
        <v>60</v>
      </c>
      <c r="X168" s="55" t="s">
        <v>15</v>
      </c>
    </row>
    <row r="169" spans="21:24">
      <c r="U169" s="55" t="s">
        <v>58</v>
      </c>
      <c r="V169" s="55" t="s">
        <v>123</v>
      </c>
      <c r="W169" s="55">
        <v>60</v>
      </c>
      <c r="X169" s="55" t="s">
        <v>15</v>
      </c>
    </row>
    <row r="170" spans="21:24">
      <c r="U170" s="55" t="s">
        <v>58</v>
      </c>
      <c r="V170" s="55" t="s">
        <v>124</v>
      </c>
      <c r="W170" s="55">
        <v>60</v>
      </c>
      <c r="X170" s="55" t="s">
        <v>15</v>
      </c>
    </row>
    <row r="171" spans="21:24">
      <c r="U171" s="55" t="s">
        <v>58</v>
      </c>
      <c r="V171" s="55" t="s">
        <v>254</v>
      </c>
      <c r="W171" s="55">
        <v>30</v>
      </c>
      <c r="X171" s="55" t="s">
        <v>15</v>
      </c>
    </row>
    <row r="172" spans="21:24">
      <c r="U172" s="55" t="s">
        <v>58</v>
      </c>
      <c r="V172" s="55" t="s">
        <v>267</v>
      </c>
      <c r="W172" s="55">
        <v>30</v>
      </c>
      <c r="X172" s="55" t="s">
        <v>15</v>
      </c>
    </row>
    <row r="173" spans="21:24">
      <c r="U173" s="55" t="s">
        <v>58</v>
      </c>
      <c r="V173" s="55" t="s">
        <v>259</v>
      </c>
      <c r="W173" s="55">
        <v>30</v>
      </c>
      <c r="X173" s="55" t="s">
        <v>15</v>
      </c>
    </row>
    <row r="174" spans="21:24">
      <c r="U174" s="55" t="s">
        <v>58</v>
      </c>
      <c r="V174" s="23" t="s">
        <v>284</v>
      </c>
      <c r="W174" s="55">
        <v>30</v>
      </c>
      <c r="X174" s="55" t="s">
        <v>15</v>
      </c>
    </row>
    <row r="175" spans="21:24">
      <c r="U175" s="55" t="s">
        <v>58</v>
      </c>
      <c r="V175" s="97" t="s">
        <v>291</v>
      </c>
      <c r="W175" s="55">
        <v>30</v>
      </c>
      <c r="X175" s="55" t="s">
        <v>15</v>
      </c>
    </row>
    <row r="176" spans="21:24">
      <c r="U176" s="55" t="s">
        <v>58</v>
      </c>
      <c r="V176" s="55" t="s">
        <v>257</v>
      </c>
      <c r="W176" s="55">
        <v>30</v>
      </c>
      <c r="X176" s="55" t="s">
        <v>15</v>
      </c>
    </row>
    <row r="177" spans="21:24">
      <c r="U177" s="55" t="s">
        <v>58</v>
      </c>
      <c r="V177" s="55" t="s">
        <v>258</v>
      </c>
      <c r="W177" s="55">
        <v>30</v>
      </c>
      <c r="X177" s="55" t="s">
        <v>15</v>
      </c>
    </row>
    <row r="178" spans="21:24" ht="15" customHeight="1">
      <c r="U178" s="55" t="s">
        <v>58</v>
      </c>
      <c r="V178" s="55" t="s">
        <v>255</v>
      </c>
      <c r="W178" s="55">
        <v>30</v>
      </c>
      <c r="X178" s="55" t="s">
        <v>15</v>
      </c>
    </row>
    <row r="179" spans="21:24">
      <c r="U179" s="55" t="s">
        <v>58</v>
      </c>
      <c r="V179" s="55" t="s">
        <v>268</v>
      </c>
      <c r="W179" s="55">
        <v>30</v>
      </c>
      <c r="X179" s="55" t="s">
        <v>15</v>
      </c>
    </row>
    <row r="180" spans="21:24">
      <c r="U180" s="55" t="s">
        <v>58</v>
      </c>
      <c r="V180" s="55" t="s">
        <v>276</v>
      </c>
      <c r="W180" s="55">
        <v>30</v>
      </c>
      <c r="X180" s="55" t="s">
        <v>15</v>
      </c>
    </row>
    <row r="181" spans="21:24">
      <c r="U181" s="55" t="s">
        <v>58</v>
      </c>
      <c r="V181" s="55" t="s">
        <v>269</v>
      </c>
      <c r="W181" s="55">
        <v>30</v>
      </c>
      <c r="X181" s="55" t="s">
        <v>15</v>
      </c>
    </row>
    <row r="182" spans="21:24">
      <c r="U182" s="55" t="s">
        <v>58</v>
      </c>
      <c r="V182" s="55" t="s">
        <v>277</v>
      </c>
      <c r="W182" s="55">
        <v>30</v>
      </c>
      <c r="X182" s="55" t="s">
        <v>15</v>
      </c>
    </row>
    <row r="183" spans="21:24">
      <c r="U183" s="55" t="s">
        <v>58</v>
      </c>
      <c r="V183" s="55" t="s">
        <v>285</v>
      </c>
      <c r="W183" s="55">
        <v>30</v>
      </c>
      <c r="X183" s="55" t="s">
        <v>15</v>
      </c>
    </row>
    <row r="184" spans="21:24">
      <c r="U184" s="55" t="s">
        <v>58</v>
      </c>
      <c r="V184" s="55" t="s">
        <v>292</v>
      </c>
      <c r="W184" s="55">
        <v>30</v>
      </c>
      <c r="X184" s="55" t="s">
        <v>15</v>
      </c>
    </row>
    <row r="185" spans="21:24">
      <c r="U185" s="55" t="s">
        <v>58</v>
      </c>
      <c r="V185" s="55" t="s">
        <v>300</v>
      </c>
      <c r="W185" s="55">
        <v>30</v>
      </c>
      <c r="X185" s="55" t="s">
        <v>15</v>
      </c>
    </row>
    <row r="186" spans="21:24">
      <c r="U186" s="55" t="s">
        <v>58</v>
      </c>
      <c r="V186" s="55" t="s">
        <v>307</v>
      </c>
      <c r="W186" s="55">
        <v>30</v>
      </c>
      <c r="X186" s="55" t="s">
        <v>15</v>
      </c>
    </row>
    <row r="187" spans="21:24">
      <c r="U187" s="55" t="s">
        <v>58</v>
      </c>
      <c r="V187" s="55" t="s">
        <v>312</v>
      </c>
      <c r="W187" s="55">
        <v>30</v>
      </c>
      <c r="X187" s="55" t="s">
        <v>15</v>
      </c>
    </row>
    <row r="188" spans="21:24">
      <c r="U188" s="55" t="s">
        <v>58</v>
      </c>
      <c r="V188" s="97" t="s">
        <v>327</v>
      </c>
      <c r="W188" s="55">
        <v>30</v>
      </c>
      <c r="X188" s="55" t="s">
        <v>15</v>
      </c>
    </row>
    <row r="189" spans="21:24">
      <c r="U189" s="55" t="s">
        <v>58</v>
      </c>
      <c r="V189" s="97" t="s">
        <v>328</v>
      </c>
      <c r="W189" s="55">
        <v>30</v>
      </c>
      <c r="X189" s="55" t="s">
        <v>15</v>
      </c>
    </row>
    <row r="190" spans="21:24">
      <c r="U190" s="55" t="s">
        <v>58</v>
      </c>
      <c r="V190" s="97" t="s">
        <v>317</v>
      </c>
      <c r="W190" s="55">
        <v>30</v>
      </c>
      <c r="X190" s="55" t="s">
        <v>15</v>
      </c>
    </row>
    <row r="191" spans="21:24">
      <c r="U191" s="55" t="s">
        <v>58</v>
      </c>
      <c r="V191" s="97" t="s">
        <v>321</v>
      </c>
      <c r="W191" s="55">
        <v>30</v>
      </c>
      <c r="X191" s="55" t="s">
        <v>15</v>
      </c>
    </row>
    <row r="192" spans="21:24">
      <c r="U192" s="55" t="s">
        <v>59</v>
      </c>
      <c r="V192" s="55" t="s">
        <v>125</v>
      </c>
      <c r="W192" s="55">
        <v>30</v>
      </c>
      <c r="X192" s="55" t="s">
        <v>15</v>
      </c>
    </row>
    <row r="193" spans="21:24">
      <c r="U193" s="55" t="s">
        <v>59</v>
      </c>
      <c r="V193" s="55" t="s">
        <v>126</v>
      </c>
      <c r="W193" s="55">
        <v>30</v>
      </c>
      <c r="X193" s="55" t="s">
        <v>15</v>
      </c>
    </row>
    <row r="194" spans="21:24">
      <c r="U194" s="55" t="s">
        <v>59</v>
      </c>
      <c r="V194" s="55" t="s">
        <v>127</v>
      </c>
      <c r="W194" s="55">
        <v>30</v>
      </c>
      <c r="X194" s="55" t="s">
        <v>15</v>
      </c>
    </row>
    <row r="195" spans="21:24">
      <c r="U195" s="55" t="s">
        <v>59</v>
      </c>
      <c r="V195" s="55" t="s">
        <v>128</v>
      </c>
      <c r="W195" s="55">
        <v>30</v>
      </c>
      <c r="X195" s="55" t="s">
        <v>15</v>
      </c>
    </row>
    <row r="196" spans="21:24">
      <c r="U196" s="55" t="s">
        <v>59</v>
      </c>
      <c r="V196" s="97" t="s">
        <v>293</v>
      </c>
      <c r="W196" s="55">
        <v>30</v>
      </c>
      <c r="X196" s="55" t="s">
        <v>15</v>
      </c>
    </row>
    <row r="197" spans="21:24">
      <c r="U197" s="55" t="s">
        <v>59</v>
      </c>
      <c r="V197" s="97" t="s">
        <v>301</v>
      </c>
      <c r="W197" s="55">
        <v>30</v>
      </c>
      <c r="X197" s="55" t="s">
        <v>15</v>
      </c>
    </row>
    <row r="198" spans="21:24">
      <c r="U198" s="55" t="s">
        <v>59</v>
      </c>
      <c r="V198" s="97" t="s">
        <v>308</v>
      </c>
      <c r="W198" s="55">
        <v>30</v>
      </c>
      <c r="X198" s="55" t="s">
        <v>15</v>
      </c>
    </row>
    <row r="199" spans="21:24">
      <c r="U199" s="55" t="s">
        <v>59</v>
      </c>
      <c r="V199" s="97" t="s">
        <v>313</v>
      </c>
      <c r="W199" s="55">
        <v>30</v>
      </c>
      <c r="X199" s="55" t="s">
        <v>15</v>
      </c>
    </row>
    <row r="200" spans="21:24">
      <c r="U200" s="55" t="s">
        <v>59</v>
      </c>
      <c r="V200" s="97" t="s">
        <v>318</v>
      </c>
      <c r="W200" s="55">
        <v>30</v>
      </c>
      <c r="X200" s="55" t="s">
        <v>15</v>
      </c>
    </row>
    <row r="201" spans="21:24">
      <c r="U201" s="55" t="s">
        <v>59</v>
      </c>
      <c r="V201" s="23" t="s">
        <v>442</v>
      </c>
      <c r="W201" s="55">
        <v>30</v>
      </c>
      <c r="X201" s="55" t="s">
        <v>15</v>
      </c>
    </row>
    <row r="202" spans="21:24">
      <c r="U202" s="55" t="s">
        <v>60</v>
      </c>
      <c r="V202" s="55" t="s">
        <v>260</v>
      </c>
      <c r="W202" s="55">
        <v>30</v>
      </c>
      <c r="X202" s="55" t="s">
        <v>15</v>
      </c>
    </row>
    <row r="203" spans="21:24">
      <c r="U203" s="55" t="s">
        <v>60</v>
      </c>
      <c r="V203" s="55" t="s">
        <v>82</v>
      </c>
      <c r="W203" s="55">
        <v>30</v>
      </c>
      <c r="X203" s="55" t="s">
        <v>15</v>
      </c>
    </row>
    <row r="204" spans="21:24">
      <c r="U204" s="55" t="s">
        <v>60</v>
      </c>
      <c r="V204" s="55" t="s">
        <v>278</v>
      </c>
      <c r="W204" s="55">
        <v>30</v>
      </c>
      <c r="X204" s="55" t="s">
        <v>15</v>
      </c>
    </row>
    <row r="205" spans="21:24">
      <c r="U205" s="55" t="s">
        <v>60</v>
      </c>
      <c r="V205" s="97" t="s">
        <v>286</v>
      </c>
      <c r="W205" s="55">
        <v>30</v>
      </c>
      <c r="X205" s="55" t="s">
        <v>15</v>
      </c>
    </row>
    <row r="206" spans="21:24">
      <c r="U206" s="55" t="s">
        <v>60</v>
      </c>
      <c r="V206" s="97" t="s">
        <v>294</v>
      </c>
      <c r="W206" s="55">
        <v>30</v>
      </c>
      <c r="X206" s="55" t="s">
        <v>15</v>
      </c>
    </row>
    <row r="207" spans="21:24">
      <c r="U207" s="55" t="s">
        <v>60</v>
      </c>
      <c r="V207" s="97" t="s">
        <v>302</v>
      </c>
      <c r="W207" s="55">
        <v>30</v>
      </c>
      <c r="X207" s="55" t="s">
        <v>15</v>
      </c>
    </row>
    <row r="208" spans="21:24">
      <c r="U208" s="55" t="s">
        <v>60</v>
      </c>
      <c r="V208" s="54" t="s">
        <v>434</v>
      </c>
      <c r="W208" s="55">
        <v>30</v>
      </c>
      <c r="X208" s="55" t="s">
        <v>15</v>
      </c>
    </row>
    <row r="209" spans="21:24">
      <c r="U209" s="55" t="s">
        <v>60</v>
      </c>
      <c r="V209" s="54" t="s">
        <v>435</v>
      </c>
      <c r="W209" s="55">
        <v>30</v>
      </c>
      <c r="X209" s="55" t="s">
        <v>15</v>
      </c>
    </row>
    <row r="210" spans="21:24">
      <c r="U210" s="55" t="s">
        <v>60</v>
      </c>
      <c r="V210" s="54" t="s">
        <v>436</v>
      </c>
      <c r="W210" s="55">
        <v>30</v>
      </c>
      <c r="X210" s="55" t="s">
        <v>15</v>
      </c>
    </row>
    <row r="211" spans="21:24" ht="28">
      <c r="U211" s="55" t="s">
        <v>60</v>
      </c>
      <c r="V211" s="98" t="s">
        <v>437</v>
      </c>
      <c r="W211" s="55">
        <v>30</v>
      </c>
      <c r="X211" s="55" t="s">
        <v>15</v>
      </c>
    </row>
    <row r="212" spans="21:24">
      <c r="U212" s="55" t="s">
        <v>60</v>
      </c>
      <c r="V212" s="54" t="s">
        <v>438</v>
      </c>
      <c r="W212" s="55">
        <v>30</v>
      </c>
      <c r="X212" s="55" t="s">
        <v>15</v>
      </c>
    </row>
    <row r="213" spans="21:24">
      <c r="U213" s="97" t="s">
        <v>146</v>
      </c>
      <c r="V213" s="55" t="s">
        <v>396</v>
      </c>
      <c r="W213" s="55">
        <v>30</v>
      </c>
      <c r="X213" s="55" t="s">
        <v>15</v>
      </c>
    </row>
    <row r="214" spans="21:24">
      <c r="U214" s="97" t="s">
        <v>146</v>
      </c>
      <c r="V214" s="55" t="s">
        <v>397</v>
      </c>
      <c r="W214" s="55">
        <v>30</v>
      </c>
      <c r="X214" s="55" t="s">
        <v>15</v>
      </c>
    </row>
    <row r="215" spans="21:24">
      <c r="U215" s="97" t="s">
        <v>146</v>
      </c>
      <c r="V215" s="55" t="s">
        <v>398</v>
      </c>
      <c r="W215" s="55">
        <v>30</v>
      </c>
      <c r="X215" s="55" t="s">
        <v>15</v>
      </c>
    </row>
    <row r="216" spans="21:24">
      <c r="U216" s="97" t="s">
        <v>146</v>
      </c>
      <c r="V216" s="55" t="s">
        <v>399</v>
      </c>
      <c r="W216" s="55">
        <v>30</v>
      </c>
      <c r="X216" s="55" t="s">
        <v>15</v>
      </c>
    </row>
    <row r="217" spans="21:24">
      <c r="U217" s="97" t="s">
        <v>146</v>
      </c>
      <c r="V217" s="55" t="s">
        <v>400</v>
      </c>
      <c r="W217" s="55">
        <v>30</v>
      </c>
      <c r="X217" s="55" t="s">
        <v>15</v>
      </c>
    </row>
    <row r="218" spans="21:24">
      <c r="U218" s="97" t="s">
        <v>146</v>
      </c>
      <c r="V218" s="55" t="s">
        <v>401</v>
      </c>
      <c r="W218" s="55">
        <v>30</v>
      </c>
      <c r="X218" s="55" t="s">
        <v>15</v>
      </c>
    </row>
    <row r="219" spans="21:24">
      <c r="U219" s="97" t="s">
        <v>146</v>
      </c>
      <c r="V219" s="55" t="s">
        <v>402</v>
      </c>
      <c r="W219" s="55">
        <v>30</v>
      </c>
      <c r="X219" s="55" t="s">
        <v>15</v>
      </c>
    </row>
    <row r="220" spans="21:24">
      <c r="U220" s="97" t="s">
        <v>146</v>
      </c>
      <c r="V220" s="55" t="s">
        <v>403</v>
      </c>
      <c r="W220" s="55">
        <v>30</v>
      </c>
      <c r="X220" s="55" t="s">
        <v>15</v>
      </c>
    </row>
    <row r="221" spans="21:24">
      <c r="U221" s="97" t="s">
        <v>146</v>
      </c>
      <c r="V221" s="55" t="s">
        <v>404</v>
      </c>
      <c r="W221" s="55">
        <v>30</v>
      </c>
      <c r="X221" s="55" t="s">
        <v>15</v>
      </c>
    </row>
    <row r="222" spans="21:24">
      <c r="U222" s="97" t="s">
        <v>146</v>
      </c>
      <c r="V222" s="55" t="s">
        <v>405</v>
      </c>
      <c r="W222" s="55">
        <v>30</v>
      </c>
      <c r="X222" s="55" t="s">
        <v>15</v>
      </c>
    </row>
    <row r="223" spans="21:24">
      <c r="U223" s="97" t="s">
        <v>146</v>
      </c>
      <c r="V223" s="55" t="s">
        <v>406</v>
      </c>
      <c r="W223" s="55">
        <v>30</v>
      </c>
      <c r="X223" s="55" t="s">
        <v>15</v>
      </c>
    </row>
    <row r="224" spans="21:24">
      <c r="U224" s="97" t="s">
        <v>146</v>
      </c>
      <c r="V224" s="55" t="s">
        <v>407</v>
      </c>
      <c r="W224" s="55">
        <v>30</v>
      </c>
      <c r="X224" s="55" t="s">
        <v>15</v>
      </c>
    </row>
    <row r="225" spans="21:24">
      <c r="U225" s="97" t="s">
        <v>146</v>
      </c>
      <c r="V225" s="55" t="s">
        <v>408</v>
      </c>
      <c r="W225" s="55">
        <v>30</v>
      </c>
      <c r="X225" s="55" t="s">
        <v>15</v>
      </c>
    </row>
    <row r="226" spans="21:24">
      <c r="U226" s="97" t="s">
        <v>146</v>
      </c>
      <c r="V226" s="55" t="s">
        <v>409</v>
      </c>
      <c r="W226" s="55">
        <v>30</v>
      </c>
      <c r="X226" s="55" t="s">
        <v>15</v>
      </c>
    </row>
    <row r="227" spans="21:24">
      <c r="U227" s="97" t="s">
        <v>146</v>
      </c>
      <c r="V227" s="55" t="s">
        <v>410</v>
      </c>
      <c r="W227" s="55">
        <v>30</v>
      </c>
      <c r="X227" s="55" t="s">
        <v>15</v>
      </c>
    </row>
    <row r="228" spans="21:24">
      <c r="U228" s="97" t="s">
        <v>146</v>
      </c>
      <c r="V228" s="55" t="s">
        <v>411</v>
      </c>
      <c r="W228" s="55">
        <v>30</v>
      </c>
      <c r="X228" s="55" t="s">
        <v>15</v>
      </c>
    </row>
    <row r="229" spans="21:24">
      <c r="U229" s="97" t="s">
        <v>168</v>
      </c>
      <c r="V229" s="14" t="s">
        <v>171</v>
      </c>
      <c r="W229" s="97">
        <v>30</v>
      </c>
      <c r="X229" s="55" t="s">
        <v>15</v>
      </c>
    </row>
    <row r="230" spans="21:24">
      <c r="U230" s="97" t="s">
        <v>168</v>
      </c>
      <c r="V230" s="14" t="s">
        <v>460</v>
      </c>
      <c r="W230" s="97">
        <v>30</v>
      </c>
      <c r="X230" s="55" t="s">
        <v>15</v>
      </c>
    </row>
    <row r="231" spans="21:24">
      <c r="U231" s="97" t="s">
        <v>168</v>
      </c>
      <c r="V231" s="14" t="s">
        <v>173</v>
      </c>
      <c r="W231" s="97">
        <v>30</v>
      </c>
      <c r="X231" s="55" t="s">
        <v>15</v>
      </c>
    </row>
    <row r="232" spans="21:24">
      <c r="U232" s="97" t="s">
        <v>168</v>
      </c>
      <c r="V232" s="14" t="s">
        <v>461</v>
      </c>
      <c r="W232" s="97">
        <v>30</v>
      </c>
      <c r="X232" s="55" t="s">
        <v>15</v>
      </c>
    </row>
    <row r="233" spans="21:24">
      <c r="U233" s="97" t="s">
        <v>168</v>
      </c>
      <c r="V233" s="14" t="s">
        <v>462</v>
      </c>
      <c r="W233" s="97">
        <v>30</v>
      </c>
      <c r="X233" s="55" t="s">
        <v>15</v>
      </c>
    </row>
    <row r="234" spans="21:24">
      <c r="U234" s="97" t="s">
        <v>168</v>
      </c>
      <c r="V234" s="14" t="s">
        <v>463</v>
      </c>
      <c r="W234" s="97">
        <v>30</v>
      </c>
      <c r="X234" s="55" t="s">
        <v>15</v>
      </c>
    </row>
    <row r="235" spans="21:24">
      <c r="U235" s="97" t="s">
        <v>168</v>
      </c>
      <c r="V235" s="14" t="s">
        <v>464</v>
      </c>
      <c r="W235" s="97">
        <v>30</v>
      </c>
      <c r="X235" s="55" t="s">
        <v>15</v>
      </c>
    </row>
    <row r="236" spans="21:24">
      <c r="U236" s="97" t="s">
        <v>168</v>
      </c>
      <c r="V236" s="14" t="s">
        <v>465</v>
      </c>
      <c r="W236" s="97">
        <v>60</v>
      </c>
      <c r="X236" s="55" t="s">
        <v>15</v>
      </c>
    </row>
    <row r="237" spans="21:24">
      <c r="U237" s="97" t="s">
        <v>168</v>
      </c>
      <c r="V237" s="14" t="s">
        <v>466</v>
      </c>
      <c r="W237" s="97">
        <v>60</v>
      </c>
      <c r="X237" s="55" t="s">
        <v>15</v>
      </c>
    </row>
    <row r="238" spans="21:24">
      <c r="U238" s="97" t="s">
        <v>168</v>
      </c>
      <c r="V238" s="14" t="s">
        <v>467</v>
      </c>
      <c r="W238" s="97">
        <v>60</v>
      </c>
      <c r="X238" s="55" t="s">
        <v>15</v>
      </c>
    </row>
    <row r="239" spans="21:24">
      <c r="U239" s="97" t="s">
        <v>168</v>
      </c>
      <c r="V239" s="14" t="s">
        <v>468</v>
      </c>
      <c r="W239" s="97">
        <v>60</v>
      </c>
      <c r="X239" s="55" t="s">
        <v>15</v>
      </c>
    </row>
    <row r="240" spans="21:24">
      <c r="U240" s="97" t="s">
        <v>168</v>
      </c>
      <c r="V240" s="14" t="s">
        <v>469</v>
      </c>
      <c r="W240" s="97">
        <v>60</v>
      </c>
      <c r="X240" s="55" t="s">
        <v>15</v>
      </c>
    </row>
    <row r="241" spans="21:24">
      <c r="U241" s="97" t="s">
        <v>168</v>
      </c>
      <c r="V241" s="14" t="s">
        <v>470</v>
      </c>
      <c r="W241" s="97">
        <v>60</v>
      </c>
      <c r="X241" s="55" t="s">
        <v>15</v>
      </c>
    </row>
    <row r="242" spans="21:24">
      <c r="U242" s="97" t="s">
        <v>168</v>
      </c>
      <c r="V242" s="14" t="s">
        <v>471</v>
      </c>
      <c r="W242" s="97">
        <v>60</v>
      </c>
      <c r="X242" s="55" t="s">
        <v>15</v>
      </c>
    </row>
  </sheetData>
  <conditionalFormatting sqref="W166:W229 W3:W22 W40:W159">
    <cfRule type="cellIs" dxfId="18" priority="19" stopIfTrue="1" operator="equal">
      <formula>60</formula>
    </cfRule>
  </conditionalFormatting>
  <conditionalFormatting sqref="W160:W162">
    <cfRule type="cellIs" dxfId="17" priority="12" stopIfTrue="1" operator="equal">
      <formula>60</formula>
    </cfRule>
  </conditionalFormatting>
  <conditionalFormatting sqref="W163:W165">
    <cfRule type="cellIs" dxfId="16" priority="11" stopIfTrue="1" operator="equal">
      <formula>60</formula>
    </cfRule>
  </conditionalFormatting>
  <conditionalFormatting sqref="W230">
    <cfRule type="cellIs" dxfId="15" priority="10" stopIfTrue="1" operator="equal">
      <formula>60</formula>
    </cfRule>
  </conditionalFormatting>
  <conditionalFormatting sqref="W231">
    <cfRule type="cellIs" dxfId="14" priority="9" stopIfTrue="1" operator="equal">
      <formula>60</formula>
    </cfRule>
  </conditionalFormatting>
  <conditionalFormatting sqref="W232">
    <cfRule type="cellIs" dxfId="13" priority="8" stopIfTrue="1" operator="equal">
      <formula>60</formula>
    </cfRule>
  </conditionalFormatting>
  <conditionalFormatting sqref="W233">
    <cfRule type="cellIs" dxfId="12" priority="7" stopIfTrue="1" operator="equal">
      <formula>60</formula>
    </cfRule>
  </conditionalFormatting>
  <conditionalFormatting sqref="W234">
    <cfRule type="cellIs" dxfId="11" priority="6" stopIfTrue="1" operator="equal">
      <formula>60</formula>
    </cfRule>
  </conditionalFormatting>
  <conditionalFormatting sqref="W235">
    <cfRule type="cellIs" dxfId="10" priority="5" stopIfTrue="1" operator="equal">
      <formula>60</formula>
    </cfRule>
  </conditionalFormatting>
  <conditionalFormatting sqref="W236:W242">
    <cfRule type="cellIs" dxfId="9" priority="4" stopIfTrue="1" operator="equal">
      <formula>60</formula>
    </cfRule>
  </conditionalFormatting>
  <conditionalFormatting sqref="W23:W27">
    <cfRule type="cellIs" dxfId="8" priority="3" stopIfTrue="1" operator="equal">
      <formula>60</formula>
    </cfRule>
  </conditionalFormatting>
  <conditionalFormatting sqref="W28:W35">
    <cfRule type="cellIs" dxfId="7" priority="2" stopIfTrue="1" operator="equal">
      <formula>60</formula>
    </cfRule>
  </conditionalFormatting>
  <conditionalFormatting sqref="W37:W39">
    <cfRule type="cellIs" dxfId="6" priority="1" stopIfTrue="1" operator="equal">
      <formula>60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Z60"/>
  <sheetViews>
    <sheetView showGridLines="0" showRowColHeaders="0" workbookViewId="0">
      <selection activeCell="I9" sqref="I9"/>
    </sheetView>
  </sheetViews>
  <sheetFormatPr baseColWidth="10" defaultColWidth="0" defaultRowHeight="15" customHeight="1" zeroHeight="1" x14ac:dyDescent="0"/>
  <cols>
    <col min="1" max="1" width="2.5" customWidth="1"/>
    <col min="2" max="2" width="0.83203125" customWidth="1"/>
    <col min="3" max="4" width="0.33203125" customWidth="1"/>
    <col min="5" max="5" width="12.33203125" customWidth="1"/>
    <col min="6" max="6" width="13.6640625" customWidth="1"/>
    <col min="7" max="7" width="69.1640625" customWidth="1"/>
    <col min="8" max="8" width="9.33203125" customWidth="1"/>
    <col min="9" max="9" width="11.1640625" customWidth="1"/>
    <col min="10" max="10" width="9.1640625" hidden="1" customWidth="1"/>
    <col min="11" max="11" width="10.5" customWidth="1"/>
    <col min="12" max="12" width="3" customWidth="1"/>
    <col min="13" max="13" width="10.5" customWidth="1"/>
    <col min="14" max="14" width="11" customWidth="1"/>
    <col min="15" max="15" width="0.1640625" customWidth="1"/>
    <col min="16" max="26" width="0" hidden="1" customWidth="1"/>
    <col min="27" max="16384" width="9.1640625" hidden="1"/>
  </cols>
  <sheetData>
    <row r="1" spans="1:15" ht="14">
      <c r="A1" s="10" t="s">
        <v>50</v>
      </c>
      <c r="B1" s="16"/>
      <c r="C1" s="16"/>
      <c r="D1" s="16"/>
      <c r="E1" s="16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30">
      <c r="A2" s="10" t="s">
        <v>180</v>
      </c>
      <c r="B2" s="16"/>
      <c r="C2" s="16"/>
      <c r="D2" s="16"/>
      <c r="E2" s="16"/>
      <c r="F2" s="3"/>
      <c r="G2" s="73" t="s">
        <v>439</v>
      </c>
      <c r="H2" s="3"/>
      <c r="I2" s="3"/>
      <c r="J2" s="3"/>
      <c r="K2" s="3"/>
      <c r="L2" s="3"/>
      <c r="M2" s="3"/>
      <c r="N2" s="3"/>
      <c r="O2" s="3"/>
    </row>
    <row r="3" spans="1:15" ht="7.5" customHeight="1">
      <c r="A3" s="10" t="s">
        <v>181</v>
      </c>
      <c r="B3" s="16"/>
      <c r="C3" s="16"/>
      <c r="D3" s="16"/>
      <c r="E3" s="16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ht="7.5" customHeight="1">
      <c r="A4" s="10" t="s">
        <v>182</v>
      </c>
      <c r="B4" s="16"/>
      <c r="C4" s="16"/>
      <c r="D4" s="16"/>
      <c r="E4" s="16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ht="14">
      <c r="A5" s="10" t="s">
        <v>183</v>
      </c>
      <c r="B5" s="16"/>
      <c r="C5" s="16"/>
      <c r="D5" s="16"/>
      <c r="E5" s="90" t="s">
        <v>384</v>
      </c>
      <c r="F5" s="8" t="s">
        <v>153</v>
      </c>
      <c r="G5" s="87"/>
      <c r="H5" s="3"/>
      <c r="I5" s="3"/>
      <c r="J5" s="3"/>
      <c r="K5" s="3"/>
      <c r="L5" s="3"/>
      <c r="M5" s="3"/>
      <c r="N5" s="3"/>
      <c r="O5" s="3"/>
    </row>
    <row r="6" spans="1:15" ht="9.75" customHeight="1">
      <c r="A6" s="10" t="s">
        <v>184</v>
      </c>
      <c r="B6" s="16"/>
      <c r="C6" s="16"/>
      <c r="D6" s="16"/>
      <c r="E6" s="16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ht="14">
      <c r="A7" s="10" t="s">
        <v>185</v>
      </c>
      <c r="B7" s="57"/>
      <c r="C7" s="16"/>
      <c r="D7" s="16"/>
      <c r="E7" s="16"/>
      <c r="F7" s="3"/>
      <c r="G7" s="3"/>
      <c r="H7" s="159" t="s">
        <v>499</v>
      </c>
      <c r="I7" s="160"/>
      <c r="J7" s="3"/>
      <c r="K7" s="3"/>
      <c r="L7" s="3"/>
      <c r="M7" s="16"/>
      <c r="N7" s="16"/>
      <c r="O7" s="16"/>
    </row>
    <row r="8" spans="1:15" ht="14">
      <c r="A8" s="10" t="s">
        <v>51</v>
      </c>
      <c r="B8" s="57"/>
      <c r="C8" s="57"/>
      <c r="D8" s="16"/>
      <c r="E8" s="16"/>
      <c r="F8" s="65" t="s">
        <v>147</v>
      </c>
      <c r="G8" s="1" t="s">
        <v>377</v>
      </c>
      <c r="H8" s="1" t="s">
        <v>0</v>
      </c>
      <c r="I8" s="1" t="s">
        <v>1</v>
      </c>
      <c r="J8" s="3"/>
      <c r="K8" s="1" t="s">
        <v>3</v>
      </c>
      <c r="L8" s="3"/>
      <c r="M8" s="10" t="s">
        <v>659</v>
      </c>
      <c r="N8" s="141" t="s">
        <v>368</v>
      </c>
      <c r="O8" s="16"/>
    </row>
    <row r="9" spans="1:15" ht="15" customHeight="1">
      <c r="A9" s="10" t="s">
        <v>52</v>
      </c>
      <c r="B9" s="57"/>
      <c r="C9" s="57"/>
      <c r="D9" s="16"/>
      <c r="E9" s="114" t="s">
        <v>134</v>
      </c>
      <c r="F9" s="36" t="str">
        <f>IF(ISERROR(VLOOKUP(G9,'Diploma Unit Data'!B3:D34,3,FALSE)),"",VLOOKUP(G9,'Diploma Unit Data'!B3:D34,3,FALSE))</f>
        <v/>
      </c>
      <c r="G9" s="36" t="str">
        <f>IF(ISERROR(VLOOKUP(G5,'Diploma Unit Data'!A3:B34,2,FALSE)),"",VLOOKUP(G5,'Diploma Unit Data'!A3:B34,2,FALSE))</f>
        <v/>
      </c>
      <c r="H9" s="37" t="str">
        <f>IF(ISERROR(VLOOKUP(G9,'Diploma Unit Data'!B3:D34,2,FALSE)),"",VLOOKUP(G9,'Diploma Unit Data'!B3:D34,2,FALSE))</f>
        <v/>
      </c>
      <c r="I9" s="87"/>
      <c r="J9" s="3" t="b">
        <f>IF(I9="U",0,IF(I9="L1",2,IF(I9="P",4,IF(I9="M",6,IF(I9="D",8)))))</f>
        <v>0</v>
      </c>
      <c r="K9" s="77" t="str">
        <f>IF(ISERROR(IF(I9="","",J9*(H9/10))),"",IF(I9="","",J9*(H9/10)))</f>
        <v/>
      </c>
      <c r="L9" s="3"/>
      <c r="M9" s="138" t="e">
        <f>IF((K9+K10)&lt;12,"U",IF(AND((K9+K10)&gt;=12,(K9+K10)&lt;24),"Level 1",M14))</f>
        <v>#VALUE!</v>
      </c>
      <c r="N9" s="138" t="e">
        <f>IF(N10+K11&lt;12,"U",IF(AND((N10+K11)&gt;=12,(N10+K11)&lt;24),"Level 1",N14))</f>
        <v>#VALUE!</v>
      </c>
      <c r="O9" s="16"/>
    </row>
    <row r="10" spans="1:15" ht="15" customHeight="1">
      <c r="A10" s="10" t="s">
        <v>53</v>
      </c>
      <c r="B10" s="57"/>
      <c r="C10" s="57"/>
      <c r="D10" s="16"/>
      <c r="E10" s="116"/>
      <c r="F10" s="36" t="str">
        <f>IF(ISERROR(VLOOKUP(G10,'Diploma Unit Data'!G2:I34,3,FALSE)),"",VLOOKUP(G10,'Ext Cert Unit Data'!G2:I28,3,FALSE))</f>
        <v/>
      </c>
      <c r="G10" s="140" t="str">
        <f>IF(ISERROR(VLOOKUP(G5,'Diploma Unit Data'!F3:G34,2,FALSE)),"",VLOOKUP(G5,'Diploma Unit Data'!F3:G34,2,FALSE))</f>
        <v/>
      </c>
      <c r="H10" s="38" t="str">
        <f>IF(ISERROR(VLOOKUP(G10,'Diploma Unit Data'!G2:I34,2,FALSE)),"",VLOOKUP(G10,'Diploma Unit Data'!G2:I34,2,FALSE))</f>
        <v/>
      </c>
      <c r="I10" s="87"/>
      <c r="J10" s="3" t="b">
        <f>IF(I10="U",0,IF(I10="L1",2,IF(I10="P",4,IF(I10="M",6,IF(I10="D",8)))))</f>
        <v>0</v>
      </c>
      <c r="K10" s="77" t="str">
        <f>IF(ISERROR(IF(I10="","",J10*(H10/10))),"",IF(I10="","",J10*(H10/10)))</f>
        <v/>
      </c>
      <c r="L10" s="3"/>
      <c r="M10" s="138"/>
      <c r="N10" s="138" t="str">
        <f>IF(K9&gt;K10,K9,K10)</f>
        <v/>
      </c>
      <c r="O10" s="16"/>
    </row>
    <row r="11" spans="1:15" ht="15" customHeight="1">
      <c r="A11" s="10" t="s">
        <v>54</v>
      </c>
      <c r="B11" s="57"/>
      <c r="C11" s="57"/>
      <c r="D11" s="16"/>
      <c r="E11" s="116"/>
      <c r="F11" s="36" t="str">
        <f>IF(ISERROR(VLOOKUP(G11,'Diploma Unit Data'!L3:N34,3,FALSE)),"",VLOOKUP(G11,'Diploma Unit Data'!L3:N34,3,FALSE))</f>
        <v/>
      </c>
      <c r="G11" s="36" t="str">
        <f>IF(ISERROR(VLOOKUP(G5,'Diploma Unit Data'!K3:N34,2,FALSE)),"",VLOOKUP(G5,'Diploma Unit Data'!K3:N34,2,FALSE))</f>
        <v/>
      </c>
      <c r="H11" s="38" t="str">
        <f>IF(ISERROR(VLOOKUP(G11,'Diploma Unit Data'!L3:N34,2,FALSE)),"",VLOOKUP(G11,'Diploma Unit Data'!L3:N34,2,FALSE))</f>
        <v/>
      </c>
      <c r="I11" s="87"/>
      <c r="J11" s="3" t="b">
        <f>IF(I11="U",0,IF(I11="L1",2,IF(I11="P",4,IF(I11="M",6,IF(I11="D",8)))))</f>
        <v>0</v>
      </c>
      <c r="K11" s="77" t="str">
        <f>IF(ISERROR(IF(I11="","",J11*(H11/10))),"",IF(I11="","",J11*(H11/10)))</f>
        <v/>
      </c>
      <c r="L11" s="3"/>
      <c r="M11" s="138">
        <f>IF(K11&lt;12,"U",IF(AND(K11&gt;=12,K11&lt;24),"Level 1",M14))</f>
        <v>0</v>
      </c>
      <c r="N11" s="138">
        <f>IF(K12&lt;12,"U",IF(AND(K12&gt;=12,K12&lt;24),"Level 1",N14))</f>
        <v>0</v>
      </c>
      <c r="O11" s="16"/>
    </row>
    <row r="12" spans="1:15" ht="14">
      <c r="A12" s="10" t="s">
        <v>647</v>
      </c>
      <c r="B12" s="57"/>
      <c r="C12" s="57"/>
      <c r="D12" s="16"/>
      <c r="E12" s="115"/>
      <c r="F12" s="36" t="str">
        <f>IF(ISERROR(VLOOKUP(G12,'Diploma Unit Data'!B40:D42,3,FALSE)),"",VLOOKUP(G12,'Diploma Unit Data'!B40:D42,3,FALSE))</f>
        <v/>
      </c>
      <c r="G12" s="36" t="str">
        <f>IF(ISERROR(VLOOKUP(G5,'Diploma Unit Data'!A40:B42,2,FALSE)),"",VLOOKUP(G5,'Diploma Unit Data'!A40:B42,2,FALSE))</f>
        <v/>
      </c>
      <c r="H12" s="38" t="str">
        <f>IF(ISERROR(VLOOKUP(G12,'Diploma Unit Data'!B40:D42,2,FALSE)),"",VLOOKUP(G12,'Diploma Unit Data'!B40:D42,2,FALSE))</f>
        <v/>
      </c>
      <c r="I12" s="87"/>
      <c r="J12" s="3" t="b">
        <f>IF(I12="U",0,IF(I12="L1",2,IF(I12="P",4,IF(I12="M",6,IF(I12="D",8)))))</f>
        <v>0</v>
      </c>
      <c r="K12" s="77" t="str">
        <f>IF(ISERROR(IF(I12="","",J12*(H12/10))),"",IF(I12="","",J12*(H12/10)))</f>
        <v/>
      </c>
      <c r="L12" s="3"/>
      <c r="M12" s="138"/>
      <c r="N12" s="138"/>
      <c r="O12" s="16"/>
    </row>
    <row r="13" spans="1:15" ht="14">
      <c r="A13" s="10" t="s">
        <v>648</v>
      </c>
      <c r="B13" s="57"/>
      <c r="C13" s="57"/>
      <c r="D13" s="16"/>
      <c r="E13" s="116"/>
      <c r="F13" s="35"/>
      <c r="G13" s="35"/>
      <c r="H13" s="40"/>
      <c r="I13" s="67"/>
      <c r="J13" s="3"/>
      <c r="K13" s="79"/>
      <c r="L13" s="3"/>
      <c r="M13" s="138" t="e">
        <f>IF(OR(M9="U",M11="U"),"U",IF(OR(M9="Level 1",M11="Level 1"),"Level 1",M14))</f>
        <v>#VALUE!</v>
      </c>
      <c r="N13" s="138" t="e">
        <f>IF(OR(N9="U",N11="U"),"U",IF(OR(N9="Level 1",N11="Level 1"),"Level 1",N14))</f>
        <v>#VALUE!</v>
      </c>
      <c r="O13" s="16"/>
    </row>
    <row r="14" spans="1:15" ht="15" customHeight="1">
      <c r="A14" s="10" t="s">
        <v>649</v>
      </c>
      <c r="B14" s="57"/>
      <c r="C14" s="57"/>
      <c r="D14" s="16"/>
      <c r="E14" s="114" t="str">
        <f>IF(G5="Information and Creative Technology","Core","Mandatory")</f>
        <v>Mandatory</v>
      </c>
      <c r="F14" s="36" t="str">
        <f>IF(ISERROR(VLOOKUP(G14,'Diploma Unit Data'!Q3:S35,3,FALSE)),"",VLOOKUP(G14,'Diploma Unit Data'!Q3:S35,3,FALSE))</f>
        <v/>
      </c>
      <c r="G14" s="36" t="str">
        <f>IF(ISERROR(VLOOKUP(G5,'Diploma Unit Data'!P3:S35,2,FALSE)),"",VLOOKUP(G5,'Diploma Unit Data'!P3:Q35,2,FALSE))</f>
        <v/>
      </c>
      <c r="H14" s="38" t="str">
        <f>IF(ISERROR(VLOOKUP(G14,'Diploma Unit Data'!Q3:R35,2,FALSE)),"",VLOOKUP(G14,'Diploma Unit Data'!Q3:R35,2,FALSE))</f>
        <v/>
      </c>
      <c r="I14" s="87"/>
      <c r="J14" s="3" t="b">
        <f t="shared" ref="J14:J21" si="0">IF(I14="U",0,IF(I14="L1",2,IF(I14="P",4,IF(I14="M",6,IF(I14="D",8)))))</f>
        <v>0</v>
      </c>
      <c r="K14" s="78" t="str">
        <f t="shared" ref="K14:K21" si="1">IF(ISERROR(IF(I14="","",J14*(H14/10))),"",IF(I14="","",J14*(H14/10)))</f>
        <v/>
      </c>
      <c r="L14" s="3"/>
      <c r="M14" s="138">
        <f>SUM(K9:K12,K14:K21,K23:K31,K33:K40,K42:K46)</f>
        <v>0</v>
      </c>
      <c r="N14" s="138">
        <f>SUM(K9:K12,K14:K21,K23:K31,K33:K40,K42:K46)</f>
        <v>0</v>
      </c>
      <c r="O14" s="16"/>
    </row>
    <row r="15" spans="1:15" ht="14">
      <c r="A15" s="10" t="s">
        <v>650</v>
      </c>
      <c r="B15" s="57"/>
      <c r="C15" s="57"/>
      <c r="D15" s="16"/>
      <c r="E15" s="117"/>
      <c r="F15" s="36" t="str">
        <f>IF(ISERROR(VLOOKUP(G15,'Diploma Unit Data'!Q36:S135,3,FALSE)),"",VLOOKUP(G15,'Diploma Unit Data'!Q36:S135,3,FALSE))</f>
        <v/>
      </c>
      <c r="G15" s="36" t="str">
        <f>IF(ISERROR(VLOOKUP(G5,'Diploma Unit Data'!P37:Q69,2,FALSE)),"",VLOOKUP(G5,'Diploma Unit Data'!P37:Q69,2,FALSE))</f>
        <v/>
      </c>
      <c r="H15" s="38" t="str">
        <f>IF(ISERROR(VLOOKUP(G15,'Diploma Unit Data'!Q36:R135,2,FALSE)),"",VLOOKUP(G15,'Diploma Unit Data'!Q36:R135,2,FALSE))</f>
        <v/>
      </c>
      <c r="I15" s="87"/>
      <c r="J15" s="3" t="b">
        <f t="shared" si="0"/>
        <v>0</v>
      </c>
      <c r="K15" s="76" t="str">
        <f t="shared" si="1"/>
        <v/>
      </c>
      <c r="L15" s="3"/>
      <c r="M15" s="138" t="e">
        <f>IF(M13="U","U",IF(M13="Level 1", "Level 1",M16))</f>
        <v>#VALUE!</v>
      </c>
      <c r="N15" s="138" t="e">
        <f>IF(N13="U","U",IF(N13="Level 1", "Level 1",N16))</f>
        <v>#VALUE!</v>
      </c>
      <c r="O15" s="16"/>
    </row>
    <row r="16" spans="1:15" ht="14">
      <c r="A16" s="10" t="s">
        <v>55</v>
      </c>
      <c r="B16" s="57"/>
      <c r="C16" s="57"/>
      <c r="D16" s="16"/>
      <c r="E16" s="118"/>
      <c r="F16" s="36" t="str">
        <f>IF(ISERROR(VLOOKUP(G16,'Diploma Unit Data'!Q69:S108,3,FALSE)),"",VLOOKUP(G16,'Diploma Unit Data'!Q69:S108,3,FALSE))</f>
        <v/>
      </c>
      <c r="G16" s="36" t="str">
        <f>IF(ISERROR(VLOOKUP(G5,'Diploma Unit Data'!P70:Q108,2,FALSE)),"",VLOOKUP(G5,'Diploma Unit Data'!P70:Q108,2,FALSE))</f>
        <v/>
      </c>
      <c r="H16" s="38" t="str">
        <f>IF(ISERROR(VLOOKUP(G16,'Diploma Unit Data'!Q69:R108,2,FALSE)),"",VLOOKUP(G16,'Diploma Unit Data'!Q69:R108,2,FALSE))</f>
        <v/>
      </c>
      <c r="I16" s="87"/>
      <c r="J16" s="3" t="b">
        <f t="shared" si="0"/>
        <v>0</v>
      </c>
      <c r="K16" s="76" t="str">
        <f t="shared" si="1"/>
        <v/>
      </c>
      <c r="L16" s="3"/>
      <c r="M16" s="138" t="str">
        <f>VLOOKUP(M14,'Sheet1 (2)'!K2:L386,2,FALSE)</f>
        <v>U</v>
      </c>
      <c r="N16" s="138" t="str">
        <f>VLOOKUP(N14,'Sheet1 (2)'!K2:L386,2,FALSE)</f>
        <v>U</v>
      </c>
      <c r="O16" s="16"/>
    </row>
    <row r="17" spans="1:15" ht="14">
      <c r="A17" s="31" t="s">
        <v>56</v>
      </c>
      <c r="B17" s="57"/>
      <c r="C17" s="57"/>
      <c r="D17" s="16"/>
      <c r="E17" s="118"/>
      <c r="F17" s="36" t="str">
        <f>IF(ISERROR(VLOOKUP(G17,'Diploma Unit Data'!Q113:S139,3,FALSE)),"",VLOOKUP(G17,'Diploma Unit Data'!Q113:S139,3,FALSE))</f>
        <v/>
      </c>
      <c r="G17" s="36" t="str">
        <f>IF(ISERROR(VLOOKUP(G5,'Diploma Unit Data'!P113:Q139,2,FALSE)),"",VLOOKUP(G5,'Diploma Unit Data'!P113:Q139,2,FALSE))</f>
        <v/>
      </c>
      <c r="H17" s="38" t="str">
        <f>IF(ISERROR(VLOOKUP(G17,'Diploma Unit Data'!Q113:R139,2,FALSE)),"",VLOOKUP(G17,'Diploma Unit Data'!Q113:R139,2,FALSE))</f>
        <v/>
      </c>
      <c r="I17" s="87"/>
      <c r="J17" s="3" t="b">
        <f t="shared" si="0"/>
        <v>0</v>
      </c>
      <c r="K17" s="76" t="str">
        <f t="shared" si="1"/>
        <v/>
      </c>
      <c r="L17" s="3"/>
      <c r="M17" s="10"/>
      <c r="N17" s="10"/>
      <c r="O17" s="16"/>
    </row>
    <row r="18" spans="1:15" ht="14">
      <c r="A18" s="31" t="s">
        <v>57</v>
      </c>
      <c r="B18" s="57"/>
      <c r="C18" s="57"/>
      <c r="D18" s="16"/>
      <c r="E18" s="118"/>
      <c r="F18" s="36" t="str">
        <f>IF(ISERROR(VLOOKUP(G18,'Diploma Unit Data'!Q141:S148,3,FALSE)),"",VLOOKUP(G18,'Diploma Unit Data'!Q141:S148,3,FALSE))</f>
        <v/>
      </c>
      <c r="G18" s="36" t="str">
        <f>IF(ISERROR(VLOOKUP(G5,'Diploma Unit Data'!P141:Q148,2,FALSE)),"",VLOOKUP(G5,'Diploma Unit Data'!P141:Q148,2,FALSE))</f>
        <v/>
      </c>
      <c r="H18" s="38" t="str">
        <f>IF(ISERROR(VLOOKUP(G18,'Diploma Unit Data'!Q141:R148,2,FALSE)),"",VLOOKUP(G18,'Diploma Unit Data'!Q141:R148,2,FALSE))</f>
        <v/>
      </c>
      <c r="I18" s="87"/>
      <c r="J18" s="3" t="b">
        <f t="shared" si="0"/>
        <v>0</v>
      </c>
      <c r="K18" s="76" t="str">
        <f t="shared" si="1"/>
        <v/>
      </c>
      <c r="L18" s="3"/>
      <c r="M18" s="10"/>
      <c r="N18" s="10"/>
      <c r="O18" s="16"/>
    </row>
    <row r="19" spans="1:15" ht="14">
      <c r="A19" s="31" t="s">
        <v>581</v>
      </c>
      <c r="B19" s="57"/>
      <c r="C19" s="57"/>
      <c r="D19" s="16"/>
      <c r="E19" s="118"/>
      <c r="F19" s="36" t="str">
        <f>IF(ISERROR(VLOOKUP(G19,'Diploma Unit Data'!Q150:S151,3,FALSE)),"",VLOOKUP(G19,'Diploma Unit Data'!Q150:S151,3,FALSE))</f>
        <v/>
      </c>
      <c r="G19" s="36" t="str">
        <f>IF(ISERROR(VLOOKUP(G5,'Diploma Unit Data'!P150:Q151,2,FALSE)),"",VLOOKUP(G5,'Diploma Unit Data'!P150:Q151,2,FALSE))</f>
        <v/>
      </c>
      <c r="H19" s="38" t="str">
        <f>IF(ISERROR(VLOOKUP(G19,'Diploma Unit Data'!Q150:R151,2,FALSE)),"",VLOOKUP(G19,'Diploma Unit Data'!Q150:R151,2,FALSE))</f>
        <v/>
      </c>
      <c r="I19" s="87"/>
      <c r="J19" s="3" t="b">
        <f t="shared" si="0"/>
        <v>0</v>
      </c>
      <c r="K19" s="76" t="str">
        <f t="shared" si="1"/>
        <v/>
      </c>
      <c r="L19" s="3"/>
      <c r="M19" s="10"/>
      <c r="N19" s="10"/>
      <c r="O19" s="16"/>
    </row>
    <row r="20" spans="1:15" ht="14">
      <c r="A20" s="31" t="s">
        <v>582</v>
      </c>
      <c r="B20" s="57"/>
      <c r="C20" s="57"/>
      <c r="D20" s="16"/>
      <c r="E20" s="118"/>
      <c r="F20" s="36" t="str">
        <f>IF(ISERROR(VLOOKUP(G20,'Diploma Unit Data'!Q153:S153,3,FALSE)),"",VLOOKUP(G20,'Diploma Unit Data'!Q153:S153,3,FALSE))</f>
        <v/>
      </c>
      <c r="G20" s="36" t="str">
        <f>IF(ISERROR(VLOOKUP(G5,'Diploma Unit Data'!P153:Q153,2,FALSE)),"",VLOOKUP(G5,'Diploma Unit Data'!P153:Q153,2,FALSE))</f>
        <v/>
      </c>
      <c r="H20" s="38" t="str">
        <f>IF(ISERROR(VLOOKUP(G20,'Diploma Unit Data'!Q153:R153,2,FALSE)),"",VLOOKUP(G20,'Diploma Unit Data'!Q153:R153,2,FALSE))</f>
        <v/>
      </c>
      <c r="I20" s="87"/>
      <c r="J20" s="3" t="b">
        <f t="shared" si="0"/>
        <v>0</v>
      </c>
      <c r="K20" s="76" t="str">
        <f t="shared" si="1"/>
        <v/>
      </c>
      <c r="L20" s="3"/>
      <c r="M20" s="10"/>
      <c r="N20" s="10"/>
      <c r="O20" s="16"/>
    </row>
    <row r="21" spans="1:15" ht="14">
      <c r="A21" s="31" t="s">
        <v>12</v>
      </c>
      <c r="B21" s="16"/>
      <c r="C21" s="57"/>
      <c r="D21" s="16"/>
      <c r="E21" s="118"/>
      <c r="F21" s="36" t="str">
        <f>IF(ISERROR(VLOOKUP(G21,'Diploma Unit Data'!Q155:S155,3,FALSE)),"",VLOOKUP(G21,'Diploma Unit Data'!Q155:S155,3,FALSE))</f>
        <v/>
      </c>
      <c r="G21" s="36" t="str">
        <f>IF(ISERROR(VLOOKUP(G5,'Diploma Unit Data'!P155:Q155,2,FALSE)),"",VLOOKUP(G5,'Ext Cert Unit Data'!P130:Q130,2,FALSE))</f>
        <v/>
      </c>
      <c r="H21" s="38" t="str">
        <f>IF(ISERROR(VLOOKUP(G21,'Diploma Unit Data'!Q155:R155,2,FALSE)),"",VLOOKUP(G21,'Diploma Unit Data'!Q155:R155,2,FALSE))</f>
        <v/>
      </c>
      <c r="I21" s="87"/>
      <c r="J21" s="3" t="b">
        <f t="shared" si="0"/>
        <v>0</v>
      </c>
      <c r="K21" s="76" t="str">
        <f t="shared" si="1"/>
        <v/>
      </c>
      <c r="L21" s="3"/>
      <c r="M21" s="10"/>
      <c r="N21" s="10"/>
      <c r="O21" s="16"/>
    </row>
    <row r="22" spans="1:15" ht="14">
      <c r="A22" s="31" t="s">
        <v>58</v>
      </c>
      <c r="B22" s="16"/>
      <c r="C22" s="16"/>
      <c r="D22" s="16"/>
      <c r="E22" s="57"/>
      <c r="F22" s="3"/>
      <c r="G22" s="3"/>
      <c r="H22" s="3"/>
      <c r="I22" s="71"/>
      <c r="J22" s="3"/>
      <c r="K22" s="79"/>
      <c r="L22" s="3"/>
      <c r="M22" s="83"/>
      <c r="N22" s="10"/>
      <c r="O22" s="16"/>
    </row>
    <row r="23" spans="1:15" ht="15" customHeight="1">
      <c r="A23" s="31" t="s">
        <v>186</v>
      </c>
      <c r="B23" s="16"/>
      <c r="C23" s="16"/>
      <c r="D23" s="16"/>
      <c r="E23" s="135" t="str">
        <f>IF(OR(G5="Art and Design",G5="Art and Design Design Crafts",G5="Art and Design Fashion and Textiles",G5="Art and Design Photography",G5="Art and Design Product Design",G5="Art and Design Visual Arts",G5="Art and Design Visual Communication"),"Optional", "Optional A")</f>
        <v>Optional A</v>
      </c>
      <c r="F23" s="36" t="str">
        <f>IF(ISERROR(VLOOKUP(G23,'Diploma Unit Data'!$V$3:$X$356,3,FALSE)),"",VLOOKUP(G23,'Diploma Unit Data'!$V$3:$X$356,3,FALSE))</f>
        <v/>
      </c>
      <c r="G23" s="88"/>
      <c r="H23" s="38" t="str">
        <f>IF(ISERROR(VLOOKUP(G23,'Diploma Unit Data'!$V$3:$W$356,2,FALSE)),"",VLOOKUP(G23,'Diploma Unit Data'!$V$3:$W$356,2,FALSE))</f>
        <v/>
      </c>
      <c r="I23" s="87"/>
      <c r="J23" s="3" t="b">
        <f t="shared" ref="J23:J31" si="2">IF(I23="U",0,IF(I23="L1",2,IF(I23="P",4,IF(I23="M",6,IF(I23="D",8)))))</f>
        <v>0</v>
      </c>
      <c r="K23" s="78" t="str">
        <f t="shared" ref="K23:K31" si="3">IF(ISERROR(IF(I23="","",J23*(H23/10))),"",IF(I23="","",J23*(H23/10)))</f>
        <v/>
      </c>
      <c r="L23" s="3"/>
      <c r="M23" s="10"/>
      <c r="N23" s="10"/>
      <c r="O23" s="16"/>
    </row>
    <row r="24" spans="1:15" ht="14">
      <c r="A24" s="31" t="s">
        <v>187</v>
      </c>
      <c r="B24" s="16"/>
      <c r="C24" s="16"/>
      <c r="D24" s="16"/>
      <c r="E24" s="119"/>
      <c r="F24" s="108" t="str">
        <f>IF(ISERROR(VLOOKUP(G24,'Diploma Unit Data'!$V$3:$X$356,3,FALSE)),"",VLOOKUP(G24,'Diploma Unit Data'!$V$3:$X$356,3,FALSE))</f>
        <v/>
      </c>
      <c r="G24" s="88"/>
      <c r="H24" s="38" t="str">
        <f>IF(ISERROR(VLOOKUP(G24,'Diploma Unit Data'!$V$3:$W$356,2,FALSE)),"",VLOOKUP(G24,'Diploma Unit Data'!$V$3:$W$356,2,FALSE))</f>
        <v/>
      </c>
      <c r="I24" s="87"/>
      <c r="J24" s="3" t="b">
        <f t="shared" si="2"/>
        <v>0</v>
      </c>
      <c r="K24" s="76" t="str">
        <f t="shared" si="3"/>
        <v/>
      </c>
      <c r="L24" s="3"/>
      <c r="M24" s="83">
        <f>IF(G56&lt;&gt;"",2,1)</f>
        <v>1</v>
      </c>
      <c r="N24" s="10"/>
      <c r="O24" s="136"/>
    </row>
    <row r="25" spans="1:15" ht="14">
      <c r="A25" s="31" t="s">
        <v>189</v>
      </c>
      <c r="B25" s="4"/>
      <c r="C25" s="57"/>
      <c r="D25" s="57"/>
      <c r="E25" s="119"/>
      <c r="F25" s="36" t="str">
        <f>IF(ISERROR(VLOOKUP(G25,'Diploma Unit Data'!$V$3:$X$356,3,FALSE)),"",VLOOKUP(G25,'Diploma Unit Data'!$V$3:$X$356,3,FALSE))</f>
        <v/>
      </c>
      <c r="G25" s="88"/>
      <c r="H25" s="38" t="str">
        <f>IF(ISERROR(VLOOKUP(G25,'Diploma Unit Data'!$V$3:$W$356,2,FALSE)),"",VLOOKUP(G25,'Diploma Unit Data'!$V$3:$W$356,2,FALSE))</f>
        <v/>
      </c>
      <c r="I25" s="87"/>
      <c r="J25" s="3" t="b">
        <f t="shared" si="2"/>
        <v>0</v>
      </c>
      <c r="K25" s="76" t="str">
        <f t="shared" si="3"/>
        <v/>
      </c>
      <c r="L25" s="3"/>
      <c r="M25" s="10"/>
      <c r="N25" s="10"/>
      <c r="O25" s="16"/>
    </row>
    <row r="26" spans="1:15" ht="14">
      <c r="A26" s="31" t="s">
        <v>168</v>
      </c>
      <c r="B26" s="4"/>
      <c r="C26" s="3"/>
      <c r="D26" s="3"/>
      <c r="E26" s="110"/>
      <c r="F26" s="36" t="str">
        <f>IF(ISERROR(VLOOKUP(G26,'Diploma Unit Data'!$V$3:$X$356,3,FALSE)),"",VLOOKUP(G26,'Diploma Unit Data'!$V$3:$X$356,3,FALSE))</f>
        <v/>
      </c>
      <c r="G26" s="88"/>
      <c r="H26" s="38" t="str">
        <f>IF(ISERROR(VLOOKUP(G26,'Diploma Unit Data'!$V$3:$W$356,2,FALSE)),"",VLOOKUP(G26,'Diploma Unit Data'!$V$3:$W$356,2,FALSE))</f>
        <v/>
      </c>
      <c r="I26" s="87"/>
      <c r="J26" s="3" t="b">
        <f t="shared" si="2"/>
        <v>0</v>
      </c>
      <c r="K26" s="76" t="str">
        <f t="shared" si="3"/>
        <v/>
      </c>
      <c r="L26" s="3"/>
      <c r="M26" s="16"/>
      <c r="N26" s="16"/>
      <c r="O26" s="16"/>
    </row>
    <row r="27" spans="1:15" ht="14">
      <c r="A27" s="31" t="s">
        <v>59</v>
      </c>
      <c r="B27" s="4"/>
      <c r="C27" s="4"/>
      <c r="D27" s="3"/>
      <c r="E27" s="110"/>
      <c r="F27" s="36" t="str">
        <f>IF(ISERROR(VLOOKUP(G27,'Diploma Unit Data'!$V$3:$X$356,3,FALSE)),"",VLOOKUP(G27,'Diploma Unit Data'!$V$3:$X$356,3,FALSE))</f>
        <v/>
      </c>
      <c r="G27" s="88"/>
      <c r="H27" s="38" t="str">
        <f>IF(ISERROR(VLOOKUP(G27,'Diploma Unit Data'!$V$3:$W$356,2,FALSE)),"",VLOOKUP(G27,'Diploma Unit Data'!$V$3:$W$356,2,FALSE))</f>
        <v/>
      </c>
      <c r="I27" s="87"/>
      <c r="J27" s="3" t="b">
        <f t="shared" si="2"/>
        <v>0</v>
      </c>
      <c r="K27" s="76" t="str">
        <f t="shared" si="3"/>
        <v/>
      </c>
      <c r="L27" s="3"/>
      <c r="M27" s="16"/>
      <c r="N27" s="16"/>
      <c r="O27" s="16"/>
    </row>
    <row r="28" spans="1:15" ht="14">
      <c r="A28" s="31" t="s">
        <v>620</v>
      </c>
      <c r="B28" s="4"/>
      <c r="C28" s="4"/>
      <c r="D28" s="3"/>
      <c r="E28" s="58"/>
      <c r="F28" s="36" t="str">
        <f>IF(ISERROR(VLOOKUP(G28,'Diploma Unit Data'!$V$3:$X$356,3,FALSE)),"",VLOOKUP(G28,'Diploma Unit Data'!$V$3:$X$356,3,FALSE))</f>
        <v/>
      </c>
      <c r="G28" s="88"/>
      <c r="H28" s="38" t="str">
        <f>IF(ISERROR(VLOOKUP(G28,'Diploma Unit Data'!$V$3:$W$356,2,FALSE)),"",VLOOKUP(G28,'Diploma Unit Data'!$V$3:$W$356,2,FALSE))</f>
        <v/>
      </c>
      <c r="I28" s="87"/>
      <c r="J28" s="3" t="b">
        <f t="shared" si="2"/>
        <v>0</v>
      </c>
      <c r="K28" s="76" t="str">
        <f t="shared" si="3"/>
        <v/>
      </c>
      <c r="L28" s="3"/>
      <c r="M28" s="16"/>
      <c r="N28" s="16"/>
      <c r="O28" s="16"/>
    </row>
    <row r="29" spans="1:15" ht="14">
      <c r="A29" s="31" t="s">
        <v>621</v>
      </c>
      <c r="B29" s="4"/>
      <c r="C29" s="3"/>
      <c r="D29" s="3"/>
      <c r="E29" s="58"/>
      <c r="F29" s="36" t="str">
        <f>IF(ISERROR(VLOOKUP(G29,'Diploma Unit Data'!$V$3:$X$356,3,FALSE)),"",VLOOKUP(G29,'Diploma Unit Data'!$V$3:$X$356,3,FALSE))</f>
        <v/>
      </c>
      <c r="G29" s="88"/>
      <c r="H29" s="38" t="str">
        <f>IF(ISERROR(VLOOKUP(G29,'Diploma Unit Data'!$V$3:$W$356,2,FALSE)),"",VLOOKUP(G29,'Diploma Unit Data'!$V$3:$W$356,2,FALSE))</f>
        <v/>
      </c>
      <c r="I29" s="87"/>
      <c r="J29" s="3" t="b">
        <f t="shared" si="2"/>
        <v>0</v>
      </c>
      <c r="K29" s="76" t="str">
        <f t="shared" si="3"/>
        <v/>
      </c>
      <c r="L29" s="3"/>
      <c r="M29" s="16"/>
      <c r="N29" s="16"/>
      <c r="O29" s="16"/>
    </row>
    <row r="30" spans="1:15" ht="14">
      <c r="A30" s="31" t="s">
        <v>60</v>
      </c>
      <c r="B30" s="4"/>
      <c r="C30" s="3"/>
      <c r="D30" s="3"/>
      <c r="E30" s="58"/>
      <c r="F30" s="36" t="str">
        <f>IF(ISERROR(VLOOKUP(G30,'Diploma Unit Data'!$V$3:$X$356,3,FALSE)),"",VLOOKUP(G30,'Diploma Unit Data'!$V$3:$X$356,3,FALSE))</f>
        <v/>
      </c>
      <c r="G30" s="88"/>
      <c r="H30" s="38" t="str">
        <f>IF(ISERROR(VLOOKUP(G30,'Diploma Unit Data'!$V$3:$W$356,2,FALSE)),"",VLOOKUP(G30,'Diploma Unit Data'!$V$3:$W$356,2,FALSE))</f>
        <v/>
      </c>
      <c r="I30" s="87"/>
      <c r="J30" s="3" t="b">
        <f t="shared" si="2"/>
        <v>0</v>
      </c>
      <c r="K30" s="76" t="str">
        <f t="shared" si="3"/>
        <v/>
      </c>
      <c r="L30" s="3"/>
      <c r="M30" s="3"/>
      <c r="N30" s="3"/>
      <c r="O30" s="3"/>
    </row>
    <row r="31" spans="1:15" ht="14">
      <c r="A31" s="3"/>
      <c r="B31" s="4"/>
      <c r="C31" s="3"/>
      <c r="D31" s="3"/>
      <c r="E31" s="58"/>
      <c r="F31" s="36" t="str">
        <f>IF(ISERROR(VLOOKUP(G31,'Diploma Unit Data'!$V$3:$X$356,3,FALSE)),"",VLOOKUP(G31,'Diploma Unit Data'!$V$3:$X$356,3,FALSE))</f>
        <v/>
      </c>
      <c r="G31" s="88"/>
      <c r="H31" s="38" t="str">
        <f>IF(ISERROR(VLOOKUP(G31,'Diploma Unit Data'!$V$3:$W$356,2,FALSE)),"",VLOOKUP(G31,'Diploma Unit Data'!$V$3:$W$356,2,FALSE))</f>
        <v/>
      </c>
      <c r="I31" s="87"/>
      <c r="J31" s="3" t="b">
        <f t="shared" si="2"/>
        <v>0</v>
      </c>
      <c r="K31" s="76" t="str">
        <f t="shared" si="3"/>
        <v/>
      </c>
      <c r="L31" s="3"/>
      <c r="M31" s="3"/>
      <c r="N31" s="3"/>
      <c r="O31" s="3"/>
    </row>
    <row r="32" spans="1:15" ht="14">
      <c r="A32" s="3"/>
      <c r="B32" s="4"/>
      <c r="C32" s="3"/>
      <c r="D32" s="3"/>
      <c r="E32" s="4"/>
      <c r="F32" s="3"/>
      <c r="G32" s="3"/>
      <c r="H32" s="3"/>
      <c r="I32" s="71"/>
      <c r="J32" s="3"/>
      <c r="K32" s="79"/>
      <c r="L32" s="3"/>
      <c r="M32" s="3"/>
      <c r="N32" s="3"/>
      <c r="O32" s="3"/>
    </row>
    <row r="33" spans="1:15" ht="15" customHeight="1">
      <c r="A33" s="3"/>
      <c r="B33" s="4"/>
      <c r="C33" s="3"/>
      <c r="D33" s="3"/>
      <c r="E33" s="62" t="s">
        <v>178</v>
      </c>
      <c r="F33" s="36" t="str">
        <f>IF(ISERROR(VLOOKUP(G33,'Diploma Unit Data'!$V$3:$X$356,3,FALSE)),"",VLOOKUP(G33,'Diploma Unit Data'!$V$3:$X$356,3,FALSE))</f>
        <v/>
      </c>
      <c r="G33" s="88"/>
      <c r="H33" s="38" t="str">
        <f>IF(ISERROR(VLOOKUP(G33,'Diploma Unit Data'!$V$3:$X$356,2,FALSE)),"",VLOOKUP(G33,'Diploma Unit Data'!$V$3:$X$356,2,FALSE))</f>
        <v/>
      </c>
      <c r="I33" s="87"/>
      <c r="J33" s="3" t="b">
        <f t="shared" ref="J33:J40" si="4">IF(I33="U",0,IF(I33="L1",2,IF(I33="P",4,IF(I33="M",6,IF(I33="D",8)))))</f>
        <v>0</v>
      </c>
      <c r="K33" s="78" t="str">
        <f t="shared" ref="K33:K40" si="5">IF(ISERROR(IF(I33="","",J33*(H33/10))),"",IF(I33="","",J33*(H33/10)))</f>
        <v/>
      </c>
      <c r="L33" s="3"/>
      <c r="M33" s="3"/>
      <c r="N33" s="3"/>
      <c r="O33" s="3"/>
    </row>
    <row r="34" spans="1:15" ht="14">
      <c r="A34" s="3"/>
      <c r="B34" s="4"/>
      <c r="C34" s="3"/>
      <c r="D34" s="3"/>
      <c r="E34" s="59"/>
      <c r="F34" s="36" t="str">
        <f>IF(ISERROR(VLOOKUP(G34,'Diploma Unit Data'!$V$3:$X$356,3,FALSE)),"",VLOOKUP(G34,'Diploma Unit Data'!$V$3:$X$356,3,FALSE))</f>
        <v/>
      </c>
      <c r="G34" s="88"/>
      <c r="H34" s="38" t="str">
        <f>IF(ISERROR(VLOOKUP(G34,'Diploma Unit Data'!$V$3:$X$356,2,FALSE)),"",VLOOKUP(G34,'Diploma Unit Data'!$V$3:$X$356,2,FALSE))</f>
        <v/>
      </c>
      <c r="I34" s="87"/>
      <c r="J34" s="3" t="b">
        <f t="shared" si="4"/>
        <v>0</v>
      </c>
      <c r="K34" s="37" t="str">
        <f t="shared" si="5"/>
        <v/>
      </c>
      <c r="L34" s="3"/>
      <c r="M34" s="3"/>
      <c r="N34" s="3"/>
      <c r="O34" s="3"/>
    </row>
    <row r="35" spans="1:15" ht="14">
      <c r="A35" s="140"/>
      <c r="B35" s="4"/>
      <c r="C35" s="3"/>
      <c r="D35" s="3"/>
      <c r="E35" s="59"/>
      <c r="F35" s="36" t="str">
        <f>IF(ISERROR(VLOOKUP(G35,'Diploma Unit Data'!$V$3:$X$356,3,FALSE)),"",VLOOKUP(G35,'Diploma Unit Data'!$V$3:$X$356,3,FALSE))</f>
        <v/>
      </c>
      <c r="G35" s="88"/>
      <c r="H35" s="38" t="str">
        <f>IF(ISERROR(VLOOKUP(G35,'Diploma Unit Data'!$V$3:$X$356,2,FALSE)),"",VLOOKUP(G35,'Diploma Unit Data'!$V$3:$X$356,2,FALSE))</f>
        <v/>
      </c>
      <c r="I35" s="87"/>
      <c r="J35" s="3" t="b">
        <f t="shared" si="4"/>
        <v>0</v>
      </c>
      <c r="K35" s="37" t="str">
        <f t="shared" si="5"/>
        <v/>
      </c>
      <c r="L35" s="3"/>
      <c r="M35" s="3"/>
      <c r="N35" s="3"/>
      <c r="O35" s="3"/>
    </row>
    <row r="36" spans="1:15" ht="14">
      <c r="A36" s="4"/>
      <c r="B36" s="4"/>
      <c r="C36" s="3"/>
      <c r="D36" s="3"/>
      <c r="E36" s="58"/>
      <c r="F36" s="36" t="str">
        <f>IF(ISERROR(VLOOKUP(G36,'Diploma Unit Data'!$V$3:$X$356,3,FALSE)),"",VLOOKUP(G36,'Diploma Unit Data'!$V$3:$X$356,3,FALSE))</f>
        <v/>
      </c>
      <c r="G36" s="88"/>
      <c r="H36" s="38" t="str">
        <f>IF(ISERROR(VLOOKUP(G36,'Diploma Unit Data'!$V$3:$X$356,2,FALSE)),"",VLOOKUP(G36,'Diploma Unit Data'!$V$3:$X$356,2,FALSE))</f>
        <v/>
      </c>
      <c r="I36" s="87"/>
      <c r="J36" s="3" t="b">
        <f t="shared" si="4"/>
        <v>0</v>
      </c>
      <c r="K36" s="37" t="str">
        <f t="shared" si="5"/>
        <v/>
      </c>
      <c r="L36" s="3"/>
      <c r="M36" s="3"/>
      <c r="N36" s="3"/>
      <c r="O36" s="3"/>
    </row>
    <row r="37" spans="1:15" ht="14">
      <c r="A37" s="4"/>
      <c r="B37" s="4"/>
      <c r="C37" s="3"/>
      <c r="D37" s="3"/>
      <c r="E37" s="58"/>
      <c r="F37" s="36" t="str">
        <f>IF(ISERROR(VLOOKUP(G37,'Diploma Unit Data'!$V$3:$X$356,3,FALSE)),"",VLOOKUP(G37,'Diploma Unit Data'!$V$3:$X$356,3,FALSE))</f>
        <v/>
      </c>
      <c r="G37" s="88"/>
      <c r="H37" s="38" t="str">
        <f>IF(ISERROR(VLOOKUP(G37,'Diploma Unit Data'!$V$3:$X$356,2,FALSE)),"",VLOOKUP(G37,'Diploma Unit Data'!$V$3:$X$356,2,FALSE))</f>
        <v/>
      </c>
      <c r="I37" s="87"/>
      <c r="J37" s="3" t="b">
        <f t="shared" si="4"/>
        <v>0</v>
      </c>
      <c r="K37" s="37" t="str">
        <f t="shared" si="5"/>
        <v/>
      </c>
      <c r="L37" s="3"/>
      <c r="M37" s="3"/>
      <c r="N37" s="3"/>
      <c r="O37" s="3"/>
    </row>
    <row r="38" spans="1:15" ht="14">
      <c r="A38" s="4"/>
      <c r="B38" s="4"/>
      <c r="C38" s="3"/>
      <c r="D38" s="3"/>
      <c r="E38" s="58"/>
      <c r="F38" s="36" t="str">
        <f>IF(ISERROR(VLOOKUP(G38,'Diploma Unit Data'!$V$3:$X$356,3,FALSE)),"",VLOOKUP(G38,'Diploma Unit Data'!$V$3:$X$356,3,FALSE))</f>
        <v/>
      </c>
      <c r="G38" s="88"/>
      <c r="H38" s="38" t="str">
        <f>IF(ISERROR(VLOOKUP(G38,'Diploma Unit Data'!$V$3:$X$356,2,FALSE)),"",VLOOKUP(G38,'Diploma Unit Data'!$V$3:$X$356,2,FALSE))</f>
        <v/>
      </c>
      <c r="I38" s="87"/>
      <c r="J38" s="3" t="b">
        <f t="shared" si="4"/>
        <v>0</v>
      </c>
      <c r="K38" s="37" t="str">
        <f t="shared" si="5"/>
        <v/>
      </c>
      <c r="L38" s="3"/>
      <c r="M38" s="3"/>
      <c r="N38" s="3"/>
      <c r="O38" s="3"/>
    </row>
    <row r="39" spans="1:15" ht="14">
      <c r="A39" s="4"/>
      <c r="B39" s="4"/>
      <c r="C39" s="3"/>
      <c r="D39" s="3"/>
      <c r="E39" s="58"/>
      <c r="F39" s="36" t="str">
        <f>IF(ISERROR(VLOOKUP(G39,'Diploma Unit Data'!$V$3:$X$356,3,FALSE)),"",VLOOKUP(G39,'Diploma Unit Data'!$V$3:$X$356,3,FALSE))</f>
        <v/>
      </c>
      <c r="G39" s="88"/>
      <c r="H39" s="38" t="str">
        <f>IF(ISERROR(VLOOKUP(G39,'Diploma Unit Data'!$V$3:$X$356,2,FALSE)),"",VLOOKUP(G39,'Diploma Unit Data'!$V$3:$X$356,2,FALSE))</f>
        <v/>
      </c>
      <c r="I39" s="87"/>
      <c r="J39" s="3" t="b">
        <f t="shared" si="4"/>
        <v>0</v>
      </c>
      <c r="K39" s="37" t="str">
        <f t="shared" si="5"/>
        <v/>
      </c>
      <c r="L39" s="3"/>
      <c r="M39" s="3"/>
      <c r="N39" s="3"/>
      <c r="O39" s="3"/>
    </row>
    <row r="40" spans="1:15" ht="14">
      <c r="A40" s="4"/>
      <c r="B40" s="4"/>
      <c r="C40" s="3"/>
      <c r="D40" s="3"/>
      <c r="E40" s="58"/>
      <c r="F40" s="36" t="str">
        <f>IF(ISERROR(VLOOKUP(G40,'Diploma Unit Data'!$V$3:$X$356,3,FALSE)),"",VLOOKUP(G40,'Diploma Unit Data'!$V$3:$X$356,3,FALSE))</f>
        <v/>
      </c>
      <c r="G40" s="112"/>
      <c r="H40" s="38" t="str">
        <f>IF(ISERROR(VLOOKUP(G40,'Diploma Unit Data'!$V$3:$X$356,2,FALSE)),"",VLOOKUP(G40,'Diploma Unit Data'!$V$3:$X$356,2,FALSE))</f>
        <v/>
      </c>
      <c r="I40" s="113"/>
      <c r="J40" s="3" t="b">
        <f t="shared" si="4"/>
        <v>0</v>
      </c>
      <c r="K40" s="37" t="str">
        <f t="shared" si="5"/>
        <v/>
      </c>
      <c r="L40" s="3"/>
      <c r="M40" s="3"/>
      <c r="N40" s="3"/>
      <c r="O40" s="3"/>
    </row>
    <row r="41" spans="1:15" ht="14">
      <c r="A41" s="4"/>
      <c r="B41" s="4"/>
      <c r="C41" s="3"/>
      <c r="D41" s="3"/>
      <c r="E41" s="58"/>
      <c r="F41" s="35"/>
      <c r="G41" s="31"/>
      <c r="H41" s="100"/>
      <c r="I41" s="40"/>
      <c r="J41" s="3"/>
      <c r="K41" s="104" t="str">
        <f t="shared" ref="K41" si="6">IF(ISERROR(IF(I41="","",J41*(H41/10))),"",IF(I41="","",J41*(H41/10)))</f>
        <v/>
      </c>
      <c r="L41" s="3"/>
      <c r="M41" s="3"/>
      <c r="N41" s="3"/>
      <c r="O41" s="3"/>
    </row>
    <row r="42" spans="1:15" ht="14">
      <c r="A42" s="4"/>
      <c r="B42" s="4"/>
      <c r="C42" s="3"/>
      <c r="D42" s="3"/>
      <c r="E42" s="62" t="s">
        <v>441</v>
      </c>
      <c r="F42" s="36" t="str">
        <f>IF(ISERROR(VLOOKUP(G42,'Diploma Unit Data'!$V$3:$X$356,3,FALSE)),"",VLOOKUP(G42,'Diploma Unit Data'!$V$3:$X$356,3,FALSE))</f>
        <v/>
      </c>
      <c r="G42" s="112"/>
      <c r="H42" s="99" t="str">
        <f>IF(ISERROR(VLOOKUP(G42,'Diploma Unit Data'!$V$3:$X$356,2,FALSE)),"",VLOOKUP(G42,'Diploma Unit Data'!$V$3:$X$356,2,FALSE))</f>
        <v/>
      </c>
      <c r="I42" s="113"/>
      <c r="J42" s="3" t="b">
        <f>IF(I42="U",0,IF(I42="L1",2,IF(I42="P",4,IF(I42="M",6,IF(I42="D",8)))))</f>
        <v>0</v>
      </c>
      <c r="K42" s="103" t="str">
        <f>IF(ISERROR(IF(I42="","",J42*(H42/10))),"",IF(I42="","",J42*(H42/10)))</f>
        <v/>
      </c>
      <c r="L42" s="3"/>
      <c r="M42" s="3"/>
      <c r="N42" s="3"/>
      <c r="O42" s="3"/>
    </row>
    <row r="43" spans="1:15" ht="14">
      <c r="A43" s="4"/>
      <c r="B43" s="4"/>
      <c r="C43" s="3"/>
      <c r="D43" s="3"/>
      <c r="E43" s="126"/>
      <c r="F43" s="36" t="str">
        <f>IF(ISERROR(VLOOKUP(G43,'Diploma Unit Data'!$V$3:$X$356,3,FALSE)),"",VLOOKUP(G43,'Diploma Unit Data'!$V$3:$X$356,3,FALSE))</f>
        <v/>
      </c>
      <c r="G43" s="112"/>
      <c r="H43" s="99" t="str">
        <f>IF(ISERROR(VLOOKUP(G43,'Diploma Unit Data'!$V$3:$X$356,2,FALSE)),"",VLOOKUP(G43,'Diploma Unit Data'!$V$3:$X$356,2,FALSE))</f>
        <v/>
      </c>
      <c r="I43" s="113"/>
      <c r="J43" s="3" t="b">
        <f>IF(I43="U",0,IF(I43="L1",2,IF(I43="P",4,IF(I43="M",6,IF(I43="D",8)))))</f>
        <v>0</v>
      </c>
      <c r="K43" s="103" t="str">
        <f>IF(ISERROR(IF(I43="","",J43*(H43/10))),"",IF(I43="","",J43*(H43/10)))</f>
        <v/>
      </c>
      <c r="L43" s="3"/>
      <c r="M43" s="3"/>
      <c r="N43" s="3"/>
      <c r="O43" s="3"/>
    </row>
    <row r="44" spans="1:15" ht="14">
      <c r="A44" s="4"/>
      <c r="B44" s="4"/>
      <c r="C44" s="3"/>
      <c r="D44" s="3"/>
      <c r="E44" s="126"/>
      <c r="F44" s="36" t="str">
        <f>IF(ISERROR(VLOOKUP(G44,'Diploma Unit Data'!$V$3:$X$356,3,FALSE)),"",VLOOKUP(G44,'Diploma Unit Data'!$V$3:$X$356,3,FALSE))</f>
        <v/>
      </c>
      <c r="G44" s="112"/>
      <c r="H44" s="99" t="str">
        <f>IF(ISERROR(VLOOKUP(G44,'Diploma Unit Data'!$V$3:$X$356,2,FALSE)),"",VLOOKUP(G44,'Diploma Unit Data'!$V$3:$X$356,2,FALSE))</f>
        <v/>
      </c>
      <c r="I44" s="113"/>
      <c r="J44" s="3" t="b">
        <f>IF(I44="U",0,IF(I44="L1",2,IF(I44="P",4,IF(I44="M",6,IF(I44="D",8)))))</f>
        <v>0</v>
      </c>
      <c r="K44" s="103" t="str">
        <f>IF(ISERROR(IF(I44="","",J44*(H44/10))),"",IF(I44="","",J44*(H44/10)))</f>
        <v/>
      </c>
      <c r="L44" s="3"/>
      <c r="M44" s="3"/>
      <c r="N44" s="3"/>
      <c r="O44" s="3"/>
    </row>
    <row r="45" spans="1:15" ht="14">
      <c r="A45" s="4"/>
      <c r="B45" s="4"/>
      <c r="C45" s="3"/>
      <c r="D45" s="3"/>
      <c r="E45" s="126"/>
      <c r="F45" s="36" t="str">
        <f>IF(ISERROR(VLOOKUP(G45,'Diploma Unit Data'!$V$3:$X$356,3,FALSE)),"",VLOOKUP(G45,'Diploma Unit Data'!$V$3:$X$356,3,FALSE))</f>
        <v/>
      </c>
      <c r="G45" s="112"/>
      <c r="H45" s="99" t="str">
        <f>IF(ISERROR(VLOOKUP(G45,'Diploma Unit Data'!$V$3:$X$356,2,FALSE)),"",VLOOKUP(G45,'Diploma Unit Data'!$V$3:$X$356,2,FALSE))</f>
        <v/>
      </c>
      <c r="I45" s="113"/>
      <c r="J45" s="3" t="b">
        <f>IF(I45="U",0,IF(I45="L1",2,IF(I45="P",4,IF(I45="M",6,IF(I45="D",8)))))</f>
        <v>0</v>
      </c>
      <c r="K45" s="103" t="str">
        <f>IF(ISERROR(IF(I45="","",J45*(H45/10))),"",IF(I45="","",J45*(H45/10)))</f>
        <v/>
      </c>
      <c r="L45" s="3"/>
      <c r="M45" s="3"/>
      <c r="N45" s="3"/>
      <c r="O45" s="3"/>
    </row>
    <row r="46" spans="1:15" ht="14">
      <c r="A46" s="4"/>
      <c r="B46" s="4"/>
      <c r="C46" s="3"/>
      <c r="D46" s="3"/>
      <c r="E46" s="126"/>
      <c r="F46" s="36" t="str">
        <f>IF(ISERROR(VLOOKUP(G46,'Diploma Unit Data'!$V$3:$X$356,3,FALSE)),"",VLOOKUP(G46,'Diploma Unit Data'!$V$3:$X$356,3,FALSE))</f>
        <v/>
      </c>
      <c r="G46" s="112"/>
      <c r="H46" s="99" t="str">
        <f>IF(ISERROR(VLOOKUP(G46,'Diploma Unit Data'!$V$3:$X$356,2,FALSE)),"",VLOOKUP(G46,'Diploma Unit Data'!$V$3:$X$356,2,FALSE))</f>
        <v/>
      </c>
      <c r="I46" s="113"/>
      <c r="J46" s="3" t="b">
        <f>IF(I46="U",0,IF(I46="L1",2,IF(I46="P",4,IF(I46="M",6,IF(I46="D",8)))))</f>
        <v>0</v>
      </c>
      <c r="K46" s="103" t="str">
        <f>IF(ISERROR(IF(I46="","",J46*(H46/10))),"",IF(I46="","",J46*(H46/10)))</f>
        <v/>
      </c>
      <c r="L46" s="3"/>
      <c r="M46" s="3"/>
      <c r="N46" s="3"/>
      <c r="O46" s="3"/>
    </row>
    <row r="47" spans="1:15">
      <c r="A47" s="4"/>
      <c r="B47" s="4"/>
      <c r="C47" s="3"/>
      <c r="D47" s="3"/>
      <c r="E47" s="3"/>
      <c r="F47" s="3"/>
      <c r="G47" s="3"/>
      <c r="H47" s="127">
        <f>SUM(H9:H46)</f>
        <v>0</v>
      </c>
      <c r="I47" s="74"/>
      <c r="J47" s="3"/>
      <c r="K47" s="3"/>
      <c r="L47" s="3"/>
      <c r="M47" s="3"/>
      <c r="N47" s="3"/>
      <c r="O47" s="3"/>
    </row>
    <row r="48" spans="1:15" ht="14">
      <c r="A48" s="4"/>
      <c r="B48" s="4"/>
      <c r="C48" s="3"/>
      <c r="D48" s="3"/>
      <c r="E48" s="3"/>
      <c r="F48" s="5"/>
      <c r="G48" s="5"/>
      <c r="H48" s="3"/>
      <c r="I48" s="3"/>
      <c r="J48" s="3"/>
      <c r="K48" s="3"/>
      <c r="L48" s="3"/>
      <c r="M48" s="3"/>
      <c r="N48" s="3"/>
      <c r="O48" s="3"/>
    </row>
    <row r="49" spans="1:15" ht="14">
      <c r="A49" s="4"/>
      <c r="B49" s="4"/>
      <c r="C49" s="3"/>
      <c r="D49" s="3"/>
      <c r="E49" s="3"/>
      <c r="F49" s="3"/>
      <c r="G49" s="3"/>
      <c r="H49" s="3"/>
      <c r="I49" s="1" t="s">
        <v>381</v>
      </c>
      <c r="J49" s="3"/>
      <c r="K49" s="34">
        <f>SUM(K9:K42)</f>
        <v>0</v>
      </c>
      <c r="L49" s="10"/>
      <c r="M49" s="158" t="str">
        <f>IF(ISERROR(IF($G$5="Application of Science", "", IF($K9+$K12&lt;24,"24 points across Core Units required to achieve Level 2",""))),"",IF($G$5="Application of Science", "", IF($K9+$K12&lt;24,"24 points across Core Units required to achieve Level 2","")))</f>
        <v/>
      </c>
      <c r="N49" s="3"/>
      <c r="O49" s="3"/>
    </row>
    <row r="50" spans="1:15" ht="30" customHeight="1">
      <c r="A50" s="4"/>
      <c r="B50" s="4"/>
      <c r="C50" s="3"/>
      <c r="D50" s="3"/>
      <c r="E50" s="3"/>
      <c r="F50" s="3"/>
      <c r="G50" s="3"/>
      <c r="H50" s="3"/>
      <c r="I50" s="27" t="s">
        <v>382</v>
      </c>
      <c r="J50" s="3"/>
      <c r="K50" s="75" t="str">
        <f>IF(G5="","",IF(G5="Information and Creative Technology",N16,IF(G5="Information and Creative Technology Computer Science",N16,IF(G5="Information and Creative Technology Systems Development and Support",N16,IF(M15="U","U", IF(M15="Level 1", "Level 1", M16))))))</f>
        <v/>
      </c>
      <c r="L50" s="10">
        <f>IF(H47&gt;240,1,IF(H47&lt;240,3,2))</f>
        <v>3</v>
      </c>
      <c r="M50" s="158"/>
      <c r="N50" s="3"/>
      <c r="O50" s="3"/>
    </row>
    <row r="51" spans="1:15" ht="3.75" customHeight="1">
      <c r="A51" s="4"/>
      <c r="B51" s="4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</row>
    <row r="52" spans="1:15" ht="5.25" customHeight="1">
      <c r="A52" s="4"/>
      <c r="B52" s="31"/>
      <c r="C52" s="10"/>
      <c r="D52" s="10"/>
      <c r="E52" s="10"/>
      <c r="F52" s="10"/>
      <c r="G52" s="10"/>
      <c r="H52" s="3"/>
      <c r="I52" s="3"/>
      <c r="J52" s="3"/>
      <c r="K52" s="42"/>
      <c r="L52" s="3"/>
      <c r="M52" s="3"/>
      <c r="N52" s="3"/>
      <c r="O52" s="3"/>
    </row>
    <row r="53" spans="1:15" ht="14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105"/>
    </row>
    <row r="54" spans="1:15" ht="14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105"/>
    </row>
    <row r="55" spans="1:15" ht="14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05"/>
    </row>
    <row r="56" spans="1:15" ht="14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05"/>
    </row>
    <row r="57" spans="1:15" ht="14" hidden="1"/>
    <row r="58" spans="1:15" ht="14" hidden="1"/>
    <row r="59" spans="1:15" ht="14" hidden="1"/>
    <row r="60" spans="1:15" ht="15" hidden="1" customHeight="1"/>
  </sheetData>
  <sheetProtection password="837D" sheet="1" objects="1" scenarios="1" formatRows="0" selectLockedCells="1"/>
  <protectedRanges>
    <protectedRange sqref="H9" name="Range1_1"/>
  </protectedRanges>
  <mergeCells count="2">
    <mergeCell ref="H7:I7"/>
    <mergeCell ref="M49:M50"/>
  </mergeCells>
  <conditionalFormatting sqref="H47">
    <cfRule type="cellIs" dxfId="5" priority="3" stopIfTrue="1" operator="greaterThan">
      <formula>480</formula>
    </cfRule>
    <cfRule type="cellIs" dxfId="4" priority="4" stopIfTrue="1" operator="greaterThanOrEqual">
      <formula>480</formula>
    </cfRule>
    <cfRule type="cellIs" dxfId="3" priority="5" stopIfTrue="1" operator="lessThan">
      <formula>480</formula>
    </cfRule>
  </conditionalFormatting>
  <conditionalFormatting sqref="F16:F21">
    <cfRule type="expression" dxfId="2" priority="2" stopIfTrue="1">
      <formula>LEFT(F16,3)="N/A"</formula>
    </cfRule>
  </conditionalFormatting>
  <conditionalFormatting sqref="M49:M50">
    <cfRule type="containsText" dxfId="1" priority="1" operator="containsText" text="24">
      <formula>NOT(ISERROR(SEARCH("24",M49)))</formula>
    </cfRule>
  </conditionalFormatting>
  <dataValidations count="25">
    <dataValidation type="list" allowBlank="1" showInputMessage="1" showErrorMessage="1" sqref="G36">
      <formula1>OFFSET(INDIRECT(SUBSTITUTE(G5," ","_")&amp;"_D_B_Start"),0,0,COUNT(INDIRECT(SUBSTITUTE(G5," ","_")&amp;"_D_B_Col")),1)</formula1>
    </dataValidation>
    <dataValidation type="list" allowBlank="1" showInputMessage="1" showErrorMessage="1" sqref="G40">
      <formula1>OFFSET(INDIRECT(SUBSTITUTE(G5," ","_")&amp;"_D_B_Start"),0,0,COUNT(INDIRECT(SUBSTITUTE(G5," ","_")&amp;"_D_B_Col")),1)</formula1>
    </dataValidation>
    <dataValidation type="list" allowBlank="1" showInputMessage="1" showErrorMessage="1" sqref="G31">
      <formula1>OFFSET(INDIRECT(SUBSTITUTE(G5," ","_")&amp;"_D_Start"),0,0,COUNT(INDIRECT(SUBSTITUTE(G5," ","_")&amp;"_D_Col")),1)</formula1>
    </dataValidation>
    <dataValidation type="list" allowBlank="1" showInputMessage="1" showErrorMessage="1" sqref="G29">
      <formula1>OFFSET(INDIRECT(SUBSTITUTE(G5," ","_")&amp;"_D_Start"),0,0,COUNT(INDIRECT(SUBSTITUTE(G5," ","_")&amp;"_D_Col")),1)</formula1>
    </dataValidation>
    <dataValidation type="list" allowBlank="1" showInputMessage="1" showErrorMessage="1" sqref="G30">
      <formula1>OFFSET(INDIRECT(SUBSTITUTE(G5," ","_")&amp;"_D_Start"),0,0,COUNT(INDIRECT(SUBSTITUTE(G5," ","_")&amp;"_D_Col")),1)</formula1>
    </dataValidation>
    <dataValidation type="list" allowBlank="1" showInputMessage="1" showErrorMessage="1" sqref="G28">
      <formula1>OFFSET(INDIRECT(SUBSTITUTE(G5," ","_")&amp;"_D_Start"),0,0,COUNT(INDIRECT(SUBSTITUTE(G5," ","_")&amp;"_D_Col")),1)</formula1>
    </dataValidation>
    <dataValidation type="list" allowBlank="1" showInputMessage="1" showErrorMessage="1" sqref="G27">
      <formula1>OFFSET(INDIRECT(SUBSTITUTE(G5," ","_")&amp;"_D_Start"),0,0,COUNT(INDIRECT(SUBSTITUTE(G5," ","_")&amp;"_D_Col")),1)</formula1>
    </dataValidation>
    <dataValidation type="list" allowBlank="1" showInputMessage="1" showErrorMessage="1" sqref="G26">
      <formula1>OFFSET(INDIRECT(SUBSTITUTE(G5," ","_")&amp;"_D_Start"),0,0,COUNT(INDIRECT(SUBSTITUTE(G5," ","_")&amp;"_D_Col")),1)</formula1>
    </dataValidation>
    <dataValidation type="list" allowBlank="1" showInputMessage="1" showErrorMessage="1" sqref="G35">
      <formula1>OFFSET(INDIRECT(SUBSTITUTE(G5," ","_")&amp;"_D_B_Start"),0,0,COUNT(INDIRECT(SUBSTITUTE(G5," ","_")&amp;"_D_B_Col")),1)</formula1>
    </dataValidation>
    <dataValidation type="list" allowBlank="1" showInputMessage="1" showErrorMessage="1" sqref="G34">
      <formula1>OFFSET(INDIRECT(SUBSTITUTE(G5," ","_")&amp;"_D_B_Start"),0,0,COUNT(INDIRECT(SUBSTITUTE(G5," ","_")&amp;"_D_B_Col")),1)</formula1>
    </dataValidation>
    <dataValidation type="list" allowBlank="1" showInputMessage="1" showErrorMessage="1" sqref="G33">
      <formula1>OFFSET(INDIRECT(SUBSTITUTE(G5," ","_")&amp;"_D_B_Start"),0,0,COUNT(INDIRECT(SUBSTITUTE(G5," ","_")&amp;"_D_B_Col")),1)</formula1>
    </dataValidation>
    <dataValidation type="list" allowBlank="1" showInputMessage="1" showErrorMessage="1" sqref="G24">
      <formula1>OFFSET(INDIRECT(SUBSTITUTE(G5," ","_")&amp;"_D_Start"),0,0,COUNT(INDIRECT(SUBSTITUTE(G5," ","_")&amp;"_D_Col")),1)</formula1>
    </dataValidation>
    <dataValidation type="list" allowBlank="1" showInputMessage="1" showErrorMessage="1" sqref="G23">
      <formula1>OFFSET(INDIRECT(SUBSTITUTE(G5," ","_")&amp;"_D_Start"),0,0,COUNT(INDIRECT(SUBSTITUTE(G5," ","_")&amp;"_D_Col")),1)</formula1>
    </dataValidation>
    <dataValidation type="list" allowBlank="1" showInputMessage="1" showErrorMessage="1" sqref="G25">
      <formula1>OFFSET(INDIRECT(SUBSTITUTE(G5," ","_")&amp;"_D_Start"),0,0,COUNT(INDIRECT(SUBSTITUTE(G5," ","_")&amp;"_D_Col")),1)</formula1>
    </dataValidation>
    <dataValidation type="list" allowBlank="1" showInputMessage="1" showErrorMessage="1" sqref="G45">
      <formula1>OFFSET(INDIRECT(SUBSTITUTE(G5," ","_")&amp;"_D_C_Start"),0,0,COUNT(INDIRECT(SUBSTITUTE(G5," ","_")&amp;"_D_C_Col")),1)</formula1>
    </dataValidation>
    <dataValidation type="list" allowBlank="1" showInputMessage="1" showErrorMessage="1" sqref="G46">
      <formula1>OFFSET(INDIRECT(SUBSTITUTE(G5," ","_")&amp;"_D_C_Start"),0,0,COUNT(INDIRECT(SUBSTITUTE(G5," ","_")&amp;"_D_C_Col")),1)</formula1>
    </dataValidation>
    <dataValidation type="list" allowBlank="1" showInputMessage="1" showErrorMessage="1" sqref="G42">
      <formula1>OFFSET(INDIRECT(SUBSTITUTE(G5," ","_")&amp;"_D_C_Start"),0,0,COUNT(INDIRECT(SUBSTITUTE(G5," ","_")&amp;"_D_C_Col")),1)</formula1>
    </dataValidation>
    <dataValidation type="list" allowBlank="1" showInputMessage="1" showErrorMessage="1" sqref="G43">
      <formula1>OFFSET(INDIRECT(SUBSTITUTE(G5," ","_")&amp;"_D_C_Start"),0,0,COUNT(INDIRECT(SUBSTITUTE(G5," ","_")&amp;"_D_C_Col")),1)</formula1>
    </dataValidation>
    <dataValidation type="list" allowBlank="1" showInputMessage="1" showErrorMessage="1" sqref="G44">
      <formula1>OFFSET(INDIRECT(SUBSTITUTE(G5," ","_")&amp;"_D_C_Start"),0,0,COUNT(INDIRECT(SUBSTITUTE(G5," ","_")&amp;"_D_C_Col")),1)</formula1>
    </dataValidation>
    <dataValidation type="list" allowBlank="1" showInputMessage="1" showErrorMessage="1" sqref="G37">
      <formula1>OFFSET(INDIRECT(SUBSTITUTE(G5," ","_")&amp;"_D_B_Start"),0,0,COUNT(INDIRECT(SUBSTITUTE(G5," ","_")&amp;"_D_B_Col")),1)</formula1>
    </dataValidation>
    <dataValidation type="list" allowBlank="1" showInputMessage="1" showErrorMessage="1" sqref="G38">
      <formula1>OFFSET(INDIRECT(SUBSTITUTE(G5," ","_")&amp;"_D_B_Start"),0,0,COUNT(INDIRECT(SUBSTITUTE(G5," ","_")&amp;"_D_B_Col")),1)</formula1>
    </dataValidation>
    <dataValidation type="list" allowBlank="1" showInputMessage="1" showErrorMessage="1" sqref="G39">
      <formula1>OFFSET(INDIRECT(SUBSTITUTE(G5," ","_")&amp;"_D_B_Start"),0,0,COUNT(INDIRECT(SUBSTITUTE(G5," ","_")&amp;"_D_B_Col")),1)</formula1>
    </dataValidation>
    <dataValidation type="list" allowBlank="1" showInputMessage="1" showErrorMessage="1" sqref="G5">
      <formula1>$A$1:$A$30</formula1>
    </dataValidation>
    <dataValidation type="list" allowBlank="1" showInputMessage="1" showErrorMessage="1" sqref="C5">
      <formula1>Sectors</formula1>
    </dataValidation>
    <dataValidation type="list" allowBlank="1" showInputMessage="1" showErrorMessage="1" sqref="I9:I12 I23:I31 I14:I21 I33:I46">
      <formula1>unitgrades</formula1>
    </dataValidation>
  </dataValidations>
  <pageMargins left="0.7" right="0.7" top="0.75" bottom="0.75" header="0.3" footer="0.3"/>
  <pageSetup paperSize="9" orientation="portrait" verticalDpi="0"/>
  <ignoredErrors>
    <ignoredError sqref="N9 M13:N13 N15" evalError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U57"/>
  <sheetViews>
    <sheetView topLeftCell="Q1" zoomScale="80" zoomScaleNormal="80" zoomScalePageLayoutView="80" workbookViewId="0">
      <selection activeCell="AF15" sqref="AF15"/>
    </sheetView>
  </sheetViews>
  <sheetFormatPr baseColWidth="10" defaultColWidth="8.83203125" defaultRowHeight="14" x14ac:dyDescent="0"/>
  <sheetData>
    <row r="1" spans="1:255">
      <c r="A1" s="44" t="s">
        <v>50</v>
      </c>
      <c r="B1" s="44"/>
      <c r="C1" s="44"/>
      <c r="E1" s="45" t="s">
        <v>517</v>
      </c>
      <c r="F1" s="45"/>
      <c r="G1" s="45"/>
      <c r="I1" s="44" t="s">
        <v>129</v>
      </c>
      <c r="J1" s="44"/>
      <c r="K1" s="44"/>
      <c r="L1" s="44"/>
      <c r="M1" s="44" t="s">
        <v>520</v>
      </c>
      <c r="N1" s="44"/>
      <c r="O1" s="44"/>
      <c r="P1" s="44"/>
      <c r="Q1" s="44" t="s">
        <v>533</v>
      </c>
      <c r="R1" s="44"/>
      <c r="S1" s="44"/>
      <c r="T1" s="44"/>
      <c r="U1" s="45" t="s">
        <v>54</v>
      </c>
      <c r="V1" s="45"/>
      <c r="W1" s="45"/>
      <c r="X1" s="44"/>
      <c r="Y1" s="44" t="s">
        <v>562</v>
      </c>
      <c r="Z1" s="44"/>
      <c r="AA1" s="44"/>
      <c r="AB1" s="44"/>
      <c r="AC1" s="44" t="s">
        <v>234</v>
      </c>
      <c r="AD1" s="44"/>
      <c r="AE1" s="44"/>
      <c r="AF1" s="44"/>
      <c r="AG1" s="44" t="s">
        <v>139</v>
      </c>
      <c r="AH1" s="44"/>
      <c r="AI1" s="44"/>
      <c r="AJ1" s="44"/>
      <c r="AK1" s="44" t="s">
        <v>594</v>
      </c>
      <c r="AL1" s="44"/>
      <c r="AM1" s="44"/>
      <c r="AN1" s="44"/>
      <c r="AO1" s="45" t="s">
        <v>235</v>
      </c>
      <c r="AP1" s="45"/>
      <c r="AQ1" s="45"/>
      <c r="AR1" s="44"/>
      <c r="AS1" s="44" t="s">
        <v>58</v>
      </c>
      <c r="AT1" s="44"/>
      <c r="AU1" s="44"/>
      <c r="AV1" s="44"/>
      <c r="AW1" s="46" t="s">
        <v>236</v>
      </c>
      <c r="AX1" s="47"/>
      <c r="AY1" s="48"/>
      <c r="AZ1" s="44"/>
      <c r="BA1" s="44"/>
      <c r="BB1" s="44"/>
      <c r="BC1" s="44"/>
      <c r="BD1" s="44"/>
      <c r="BE1" s="44" t="s">
        <v>237</v>
      </c>
      <c r="BF1" s="44"/>
      <c r="BG1" s="44"/>
      <c r="BH1" s="44"/>
      <c r="BI1" s="46" t="s">
        <v>236</v>
      </c>
      <c r="BJ1" s="48"/>
      <c r="BK1" s="47"/>
      <c r="BL1" s="47"/>
      <c r="BM1" s="46" t="s">
        <v>440</v>
      </c>
      <c r="BN1" s="47"/>
      <c r="BO1" s="47"/>
      <c r="BP1" s="44"/>
      <c r="BQ1" s="46" t="s">
        <v>236</v>
      </c>
      <c r="BR1" s="47"/>
      <c r="BS1" s="48"/>
      <c r="BT1" s="44"/>
      <c r="BU1" s="44" t="s">
        <v>238</v>
      </c>
      <c r="BV1" s="44"/>
      <c r="BW1" s="44"/>
      <c r="BX1" s="44"/>
      <c r="BY1" s="46" t="s">
        <v>236</v>
      </c>
      <c r="BZ1" s="47"/>
      <c r="CA1" s="47"/>
      <c r="CB1" s="47"/>
      <c r="CC1" s="46" t="s">
        <v>440</v>
      </c>
      <c r="CD1" s="47"/>
      <c r="CE1" s="47"/>
      <c r="CF1" s="44"/>
      <c r="CG1" s="44" t="s">
        <v>239</v>
      </c>
      <c r="CH1" s="44"/>
      <c r="CI1" s="44"/>
      <c r="CJ1" s="44"/>
      <c r="CK1" s="46" t="s">
        <v>236</v>
      </c>
      <c r="CL1" s="47"/>
      <c r="CM1" s="47"/>
      <c r="CN1" s="44"/>
      <c r="CO1" s="44" t="s">
        <v>240</v>
      </c>
      <c r="CP1" s="44"/>
      <c r="CQ1" s="44"/>
      <c r="CR1" s="44"/>
      <c r="CS1" s="46" t="s">
        <v>236</v>
      </c>
      <c r="CT1" s="47"/>
      <c r="CU1" s="44"/>
      <c r="CV1" s="44"/>
      <c r="CW1" s="44" t="s">
        <v>59</v>
      </c>
      <c r="CX1" s="44"/>
      <c r="CY1" s="44"/>
      <c r="CZ1" s="44"/>
      <c r="DA1" s="44" t="s">
        <v>60</v>
      </c>
      <c r="DB1" s="44"/>
      <c r="DC1" s="44"/>
      <c r="DD1" s="44"/>
      <c r="DE1" s="44" t="s">
        <v>241</v>
      </c>
      <c r="DF1" s="44"/>
      <c r="DG1" s="44"/>
      <c r="DH1" s="44"/>
      <c r="DI1" s="44" t="s">
        <v>242</v>
      </c>
      <c r="DJ1" s="44"/>
      <c r="DK1" s="44"/>
      <c r="DL1" s="44"/>
      <c r="DM1" s="44" t="s">
        <v>444</v>
      </c>
      <c r="DN1" s="44"/>
      <c r="DO1" s="44"/>
      <c r="DP1" s="44"/>
      <c r="DQ1" s="44" t="s">
        <v>243</v>
      </c>
      <c r="DR1" s="44"/>
      <c r="DS1" s="44"/>
      <c r="DT1" s="44"/>
      <c r="DU1" s="44" t="s">
        <v>244</v>
      </c>
      <c r="DV1" s="44"/>
      <c r="DW1" s="44"/>
      <c r="DX1" s="44"/>
      <c r="DY1" s="44" t="s">
        <v>245</v>
      </c>
      <c r="DZ1" s="44"/>
      <c r="EA1" s="44"/>
      <c r="EB1" s="44"/>
      <c r="EC1" s="44" t="s">
        <v>246</v>
      </c>
      <c r="ED1" s="44"/>
      <c r="EE1" s="44"/>
      <c r="EF1" s="44"/>
      <c r="EG1" s="44" t="s">
        <v>247</v>
      </c>
      <c r="EH1" s="44"/>
      <c r="EI1" s="44"/>
      <c r="EJ1" s="44"/>
      <c r="EK1" s="44" t="s">
        <v>248</v>
      </c>
      <c r="EL1" s="44"/>
      <c r="EM1" s="44"/>
      <c r="EN1" s="44"/>
      <c r="EO1" s="45" t="s">
        <v>249</v>
      </c>
      <c r="EP1" s="44"/>
      <c r="EQ1" s="44"/>
      <c r="ES1" s="2" t="s">
        <v>146</v>
      </c>
      <c r="EW1" s="2" t="s">
        <v>168</v>
      </c>
      <c r="FA1" s="2" t="s">
        <v>518</v>
      </c>
      <c r="FE1" s="2" t="s">
        <v>521</v>
      </c>
      <c r="FI1" s="2" t="s">
        <v>534</v>
      </c>
      <c r="FM1" s="2" t="s">
        <v>535</v>
      </c>
      <c r="FQ1" s="2" t="s">
        <v>540</v>
      </c>
      <c r="FU1" s="2" t="s">
        <v>563</v>
      </c>
      <c r="FY1" s="2" t="s">
        <v>595</v>
      </c>
      <c r="GC1" s="2" t="s">
        <v>596</v>
      </c>
      <c r="GG1" s="2" t="s">
        <v>597</v>
      </c>
      <c r="GK1" s="2" t="s">
        <v>606</v>
      </c>
      <c r="GO1" s="2" t="s">
        <v>607</v>
      </c>
      <c r="GS1" s="2" t="s">
        <v>624</v>
      </c>
      <c r="GW1" s="2" t="s">
        <v>634</v>
      </c>
      <c r="HA1" s="2" t="s">
        <v>635</v>
      </c>
      <c r="HE1" s="2" t="s">
        <v>636</v>
      </c>
      <c r="HI1" s="2" t="s">
        <v>637</v>
      </c>
      <c r="HM1" s="2" t="s">
        <v>640</v>
      </c>
      <c r="HQ1" s="2" t="s">
        <v>651</v>
      </c>
      <c r="HU1" s="2" t="s">
        <v>652</v>
      </c>
      <c r="HY1" s="2" t="s">
        <v>653</v>
      </c>
      <c r="IC1" s="2" t="s">
        <v>654</v>
      </c>
      <c r="IG1" s="2" t="s">
        <v>655</v>
      </c>
      <c r="IK1" s="2" t="s">
        <v>656</v>
      </c>
      <c r="IO1" s="2" t="s">
        <v>657</v>
      </c>
      <c r="IS1" s="2" t="s">
        <v>658</v>
      </c>
    </row>
    <row r="2" spans="1:255" ht="15" customHeight="1">
      <c r="A2" s="14" t="str">
        <f>IF(OR(C39=1,C42=1,C45=1),"","Unit 3 - Communicating Ideas in 2D")</f>
        <v>Unit 3 - Communicating Ideas in 2D</v>
      </c>
      <c r="B2" s="47">
        <f>IF(COUNTIF(Diploma!list1,A2)&gt;=1,"",ROW())</f>
        <v>2</v>
      </c>
      <c r="C2" s="47" t="str">
        <f>IF(ROW(A2)-ROW(A$2)+1&gt;COUNT(B$2:B$35),"",INDEX(A:A,SMALL(B$2:B$35,1+ROW(A2)-ROW(A$2))))</f>
        <v>Unit 3 - Communicating Ideas in 2D</v>
      </c>
      <c r="E2" s="14" t="s">
        <v>351</v>
      </c>
      <c r="F2" s="47">
        <f>IF(COUNTIF(Diploma!list1,E2)&gt;=1,"",ROW())</f>
        <v>2</v>
      </c>
      <c r="G2" s="49" t="str">
        <f>IF(ROW(E2)-ROW(E$2)+1&gt;COUNT(F$2:F$12),"",INDEX(E:E,SMALL(F$2:F$12,1+ROW(E2)-ROW(E$2))))</f>
        <v>Unit 14 - Business Online</v>
      </c>
      <c r="I2" s="14" t="s">
        <v>250</v>
      </c>
      <c r="J2" s="47">
        <f>IF(COUNTIF(Certificate!$G$17:$G$21,I2)&gt;=1,"",ROW())</f>
        <v>2</v>
      </c>
      <c r="K2" s="49" t="str">
        <f>IF(ROW(I2)-ROW(I$2)+1&gt;COUNT(J$2:J$5),"",INDEX(I:I,SMALL(J$2:J$5,1+ROW(I2)-ROW(I$2))))</f>
        <v>Unit 5 - Health and Safety in Early Years Settings</v>
      </c>
      <c r="L2" s="47"/>
      <c r="M2" s="47" t="str">
        <f>IF(OR(P23=1,P26=1,P29=1,P32=1),"","Unit 16 - Carpentry and Joinery Operations")</f>
        <v>Unit 16 - Carpentry and Joinery Operations</v>
      </c>
      <c r="N2" s="47">
        <f>IF(COUNTIF(Diploma!list1,M2)&gt;=1,"",ROW())</f>
        <v>2</v>
      </c>
      <c r="O2" s="49" t="str">
        <f>IF(ROW(M2)-ROW(M$2)+1&gt;COUNT(N$2:N$17),"",INDEX(M:M,SMALL(N$2:N$17,1+ROW(M2)-ROW(M$2))))</f>
        <v>Unit 16 - Carpentry and Joinery Operations</v>
      </c>
      <c r="P2" s="47"/>
      <c r="Q2" s="14" t="s">
        <v>20</v>
      </c>
      <c r="R2" s="47">
        <f>IF(COUNTIF(Diploma!list1,Q2)&gt;=1,"",ROW())</f>
        <v>2</v>
      </c>
      <c r="S2" s="49" t="str">
        <f>IF(ROW(Q2)-ROW(Q$2)+1&gt;COUNT(R$2:R$6),"",INDEX(Q:Q,SMALL(R$2:R$6,1+ROW(Q2)-ROW(Q$2))))</f>
        <v>Unit 3 - Digital Moving Image Production</v>
      </c>
      <c r="T2" s="47"/>
      <c r="U2" s="14" t="s">
        <v>106</v>
      </c>
      <c r="V2" s="47">
        <f>IF(COUNTIF(Diploma!list1,U2)&gt;=1,"",ROW())</f>
        <v>2</v>
      </c>
      <c r="W2" s="49" t="str">
        <f>IF(ROW(U2)-ROW(U$2)+1&gt;COUNT(V$2:V$6),"",INDEX(U:U,SMALL(V$2:V$6,1+ROW(U2)-ROW(U$2))))</f>
        <v>Unit 7 - Machining Techniques</v>
      </c>
      <c r="X2" s="47"/>
      <c r="Y2" s="23" t="s">
        <v>299</v>
      </c>
      <c r="Z2" s="47">
        <f>IF(COUNTIF(Diploma!list1,Y2)&gt;=1,"",ROW())</f>
        <v>2</v>
      </c>
      <c r="AA2" s="49" t="str">
        <f>IF(ROW(Y2)-ROW(Y$2)+1&gt;COUNT(Z$2:Z$9),"",INDEX(Y:Y,SMALL(Z$2:Z$9,1+ROW(Y2)-ROW(Y$2))))</f>
        <v>Unit 10 - Human Body Systems and Care of Disorders</v>
      </c>
      <c r="AB2" s="47"/>
      <c r="AC2" s="14" t="str">
        <f>IF(AND(AF15=1,AF12=0),"","Unit 4 - Costing and Controlling Finances in the Hospitality Industry")</f>
        <v>Unit 4 - Costing and Controlling Finances in the Hospitality Industry</v>
      </c>
      <c r="AD2" s="47">
        <f>IF(COUNTIF(Diploma!list1,AC2)&gt;=1,"",ROW())</f>
        <v>2</v>
      </c>
      <c r="AE2" s="49" t="str">
        <f>IF(ROW(AC2)-ROW(AC$2)+1&gt;COUNT(AD$2:AD$6),"",INDEX(AC:AC,SMALL(AD$2:AD$6,1+ROW(AC2)-ROW(AC$2))))</f>
        <v>Unit 4 - Costing and Controlling Finances in the Hospitality Industry</v>
      </c>
      <c r="AF2" s="47"/>
      <c r="AG2" s="14" t="s">
        <v>252</v>
      </c>
      <c r="AH2" s="47">
        <f>IF(COUNTIF(Certificate!$G$17:$G$21,AG2)&gt;=1,"",ROW())</f>
        <v>2</v>
      </c>
      <c r="AI2" s="49" t="str">
        <f>IF(ROW(AG2)-ROW(AG$2)+1&gt;COUNT(AH$2:AH$3),"",INDEX(AG:AG,SMALL(AH$2:AH$3,1+ROW(AG2)-ROW(AG$2))))</f>
        <v>Unit 1 - The Online World</v>
      </c>
      <c r="AJ2" s="47"/>
      <c r="AK2" s="23" t="s">
        <v>306</v>
      </c>
      <c r="AL2" s="47">
        <f>IF(COUNTIF(Diploma!list1,AK2)&gt;=1,"",ROW())</f>
        <v>2</v>
      </c>
      <c r="AM2" s="49" t="str">
        <f>IF(ROW(AK2)-ROW(AK$2)+1&gt;COUNT(AL$2:AL$12),"",INDEX(AK:AK,SMALL(AL$2:AL$12,1+ROW(AK2)-ROW(AK$2))))</f>
        <v>Unit 10 - Database Development</v>
      </c>
      <c r="AN2" s="47"/>
      <c r="AO2" s="14" t="s">
        <v>31</v>
      </c>
      <c r="AP2" s="47">
        <f>IF(COUNTIF(Diploma!list1,AO2)&gt;=1,"",ROW())</f>
        <v>2</v>
      </c>
      <c r="AQ2" s="49" t="str">
        <f>IF(ROW(AO2)-ROW(AO$2)+1&gt;COUNT(AP$2:AP$8),"",INDEX(AO:AO,SMALL(AP$2:AP$8,1+ROW(AO2)-ROW(AO$2))))</f>
        <v>Unit 3 - Introducing Live Sound</v>
      </c>
      <c r="AR2" s="47"/>
      <c r="AS2" s="14" t="s">
        <v>120</v>
      </c>
      <c r="AT2" s="50">
        <f>IF(COUNTIF(Diploma!list1,AS2)&gt;=1,"",ROW())</f>
        <v>2</v>
      </c>
      <c r="AU2" s="49" t="str">
        <f>IF(ROW(AS2)-ROW(AS$2)+1&gt;COUNT(AT$2:AT$6),"",INDEX(AS:AS,SMALL(AT$2:AT$6,1+ROW(AS2)-ROW(AS$2))))</f>
        <v>Unit 3 - Acting Skills</v>
      </c>
      <c r="AV2" s="47"/>
      <c r="AW2" s="14" t="s">
        <v>267</v>
      </c>
      <c r="AX2" s="50">
        <f t="shared" ref="AX2:AX30" si="0">IF(COUNTIF(list2,AW2)&gt;=1,"",ROW())</f>
        <v>2</v>
      </c>
      <c r="AY2" s="49" t="str">
        <f>IF(ROW(AW2)-ROW(AW$2)+1&gt;COUNT(AX$2:AX$30),"",INDEX(AW:AW,SMALL(AX$2:AX$30,1+ROW(AW2)-ROW(AW$2))))</f>
        <v>Unit 10 - Movement Skills</v>
      </c>
      <c r="AZ2" s="47"/>
      <c r="BA2" s="14" t="s">
        <v>254</v>
      </c>
      <c r="BB2" s="50">
        <f>IF(COUNTIF(Certificate!$G$23:$G$25,BA2)&gt;=1,"",ROW())</f>
        <v>2</v>
      </c>
      <c r="BC2" s="49" t="str">
        <f t="shared" ref="BC2:BC22" si="1">IF(ROW(BA2)-ROW(BA$2)+1&gt;COUNT(BB$2:BB$22),"",INDEX(BA:BA,SMALL(BB$2:BB$22,1+ROW(BA2)-ROW(BA$2))))</f>
        <v>Unit 9 - Performance in Context</v>
      </c>
      <c r="BD2" s="47"/>
      <c r="BE2" s="14" t="s">
        <v>259</v>
      </c>
      <c r="BF2" s="50">
        <f>IF(COUNTIF(Diploma!list1,BE2)&gt;=1,"",ROW())</f>
        <v>2</v>
      </c>
      <c r="BG2" s="49" t="str">
        <f>IF(ROW(BE2)-ROW(BE$2)+1&gt;COUNT(BF$2:BF$11),"",INDEX(BE:BE,SMALL(BF$2:BF$11,1+ROW(BE2)-ROW(BE$2))))</f>
        <v>Unit 11 - Devising Performance Work</v>
      </c>
      <c r="BH2" s="47"/>
      <c r="BI2" s="14" t="s">
        <v>255</v>
      </c>
      <c r="BJ2" s="50">
        <f t="shared" ref="BJ2:BJ10" si="2">IF(COUNTIF(list2,BI2)&gt;=1,"",ROW())</f>
        <v>2</v>
      </c>
      <c r="BK2" s="47" t="str">
        <f>IF(ROW(BI2)-ROW(BI$2)+1&gt;COUNT(BJ$2:BJ$10),"",INDEX(BI:BI,SMALL(BJ$2:BJ$10,1+ROW(BI2)-ROW(BI$2))))</f>
        <v>Unit 16 - Contemporary Dance Techniques</v>
      </c>
      <c r="BL2" s="47"/>
      <c r="BM2" s="14" t="s">
        <v>269</v>
      </c>
      <c r="BN2" s="50">
        <f>IF(COUNTIF('Extended Certificate'!$G$39,BM2)&gt;=1,"",ROW())</f>
        <v>2</v>
      </c>
      <c r="BO2" s="47" t="str">
        <f t="shared" ref="BO2:BO10" si="3">IF(ROW(BM2)-ROW(BM$2)+1&gt;COUNT(BN$2:BN$10),"",INDEX(BM:BM,SMALL(BN$2:BN$10,1+ROW(BM2)-ROW(BM$2))))</f>
        <v>Unit 19 - Design Planning for Performance</v>
      </c>
      <c r="BP2" s="47"/>
      <c r="BQ2" s="51" t="s">
        <v>256</v>
      </c>
      <c r="BR2" s="50">
        <f>IF(COUNTIF(Certificate!$G$23:$G$23,BQ2)&gt;=1,"",ROW())</f>
        <v>2</v>
      </c>
      <c r="BS2" s="51" t="s">
        <v>256</v>
      </c>
      <c r="BT2" s="47"/>
      <c r="BU2" s="14" t="s">
        <v>267</v>
      </c>
      <c r="BV2" s="50">
        <f>IF(COUNTIF(Diploma!list1,BU2)&gt;=1,"",ROW())</f>
        <v>2</v>
      </c>
      <c r="BW2" s="49" t="str">
        <f>IF(ROW(BU2)-ROW(BU$2)+1&gt;COUNT(BV$2:BV$12),"",INDEX(BU:BU,SMALL(BV$2:BV$12,1+ROW(BU2)-ROW(BU$2))))</f>
        <v>Unit 10 - Movement Skills</v>
      </c>
      <c r="BX2" s="47"/>
      <c r="BY2" s="14" t="s">
        <v>257</v>
      </c>
      <c r="BZ2" s="50">
        <f t="shared" ref="BZ2:BZ8" si="4">IF(COUNTIF(list2,BY2)&gt;=1,"",ROW())</f>
        <v>2</v>
      </c>
      <c r="CA2" s="49" t="str">
        <f>IF(ROW(BY2)-ROW(BY$2)+1&gt;COUNT(BZ$2:BZ$8),"",INDEX(BY:BY,SMALL(BZ$2:BZ$8,1+ROW(BY2)-ROW(BY$2))))</f>
        <v>Unit 14 - Voice and Speech for Performers</v>
      </c>
      <c r="CB2" s="47"/>
      <c r="CC2" s="14" t="s">
        <v>269</v>
      </c>
      <c r="CD2" s="50">
        <f>IF(COUNTIF('Extended Certificate'!$G$39,CC2)&gt;=1,"",ROW())</f>
        <v>2</v>
      </c>
      <c r="CE2" s="47" t="str">
        <f>IF(ROW(CC2)-ROW(CC$2)+1&gt;COUNT(CD$2:CD$10),"",INDEX(CC:CC,SMALL(CD$2:CD$10,1+ROW(CC2)-ROW(CC$2))))</f>
        <v>Unit 19 - Design Planning for Performance</v>
      </c>
      <c r="CF2" s="47"/>
      <c r="CG2" s="14" t="s">
        <v>254</v>
      </c>
      <c r="CH2" s="50">
        <f>IF(COUNTIF('Extended Certificate'!$G$21:$G$29,CG2)&gt;=1,"",ROW())</f>
        <v>2</v>
      </c>
      <c r="CI2" s="49" t="str">
        <f>IF(ROW(CG2)-ROW(CG$2)+1&gt;COUNT(CH$2:CH$6),"",INDEX(CG:CG,SMALL(CH$2:CH$6,1+ROW(CG2)-ROW(CG$2))))</f>
        <v>Unit 9 - Performance in Context</v>
      </c>
      <c r="CJ2" s="47"/>
      <c r="CK2" s="14" t="s">
        <v>258</v>
      </c>
      <c r="CL2" s="50">
        <f>IF(COUNTIF(Certificate!$G$23:$G$25,CK2)&gt;=1,"",ROW())</f>
        <v>2</v>
      </c>
      <c r="CM2" s="47" t="str">
        <f t="shared" ref="CM2:CM14" si="5">IF(ROW(CK2)-ROW(CK$2)+1&gt;COUNT(CL$2:CL$14),"",INDEX(CK:CK,SMALL(CL$2:CL$14,1+ROW(CK2)-ROW(CK$2))))</f>
        <v>Unit 15 - Performing Scripted Plays</v>
      </c>
      <c r="CN2" s="47"/>
      <c r="CO2" s="55" t="s">
        <v>269</v>
      </c>
      <c r="CP2" s="50">
        <f>IF(COUNTIF(Diploma!list1,CO2)&gt;=1,"",ROW())</f>
        <v>2</v>
      </c>
      <c r="CQ2" s="49" t="str">
        <f>IF(ROW(CO2)-ROW(CO$2)+1&gt;COUNT(CP$2:CP$16),"",INDEX(CO:CO,SMALL(CP$2:CP$16,1+ROW(CO2)-ROW(CO$2))))</f>
        <v>Unit 19 - Design Planning for Performance</v>
      </c>
      <c r="CR2" s="47"/>
      <c r="CS2" s="55" t="s">
        <v>259</v>
      </c>
      <c r="CT2" s="50">
        <f>IF(COUNTIF(list2,CS2)&gt;=1,"",ROW())</f>
        <v>2</v>
      </c>
      <c r="CU2" s="49" t="str">
        <f>IF(ROW(CS2)-ROW(CS$2)+1&gt;COUNT(CT$2:CT$5),"",INDEX(CS:CS,SMALL(CT$2:CT$5,1+ROW(CS2)-ROW(CS$2))))</f>
        <v>Unit 11 - Devising Performance Work</v>
      </c>
      <c r="CV2" s="47"/>
      <c r="CW2" s="23" t="s">
        <v>623</v>
      </c>
      <c r="CX2" s="50">
        <f>IF(COUNTIF(Diploma!list1,CW2)&gt;=1,"",ROW())</f>
        <v>2</v>
      </c>
      <c r="CY2" s="49" t="str">
        <f>IF(ROW(CW2)-ROW(CW$2)+1&gt;COUNT(CX$2:CX$9),"",INDEX(CW:CW,SMALL(CX$2:CX$9,1+ROW(CW2)-ROW(CW$2))))</f>
        <v>Unit 15 - Designing Exercise Programmes</v>
      </c>
      <c r="CZ2" s="47"/>
      <c r="DA2" s="23" t="s">
        <v>642</v>
      </c>
      <c r="DB2" s="47">
        <f>IF(COUNTIF(Diploma!list1,DA2)&gt;=1,"",ROW())</f>
        <v>2</v>
      </c>
      <c r="DC2" s="49" t="str">
        <f>IF(ROW(DA2)-ROW(DA$2)+1&gt;COUNT(DB$2:DB$5),"",INDEX(DA:DA,SMALL(DB$2:DB$5,1+ROW(DA2)-ROW(DA$2))))</f>
        <v>Unit 12 - Marketing in Travel and Tourism</v>
      </c>
      <c r="DD2" s="47"/>
      <c r="DE2" s="47" t="s">
        <v>43</v>
      </c>
      <c r="DF2" s="47">
        <f>IF(COUNTIF('Extended Certificate'!$G$31:$G$37,DE2)&gt;=1,"",ROW())</f>
        <v>2</v>
      </c>
      <c r="DG2" s="49" t="str">
        <f>IF(ROW(DE2)-ROW(DE$2)+1&gt;COUNT(DF$2:DF$11),"",INDEX(DE:DE,SMALL(DF$2:DF$11,1+ROW(DE2)-ROW(DE$2))))</f>
        <v>Unit 9 - Digital Editing for Moving Image</v>
      </c>
      <c r="DH2" s="47"/>
      <c r="DI2" s="47" t="s">
        <v>84</v>
      </c>
      <c r="DJ2" s="47">
        <f>IF(COUNTIF(Diploma!list1,DI2)&gt;=1,"",ROW())</f>
        <v>2</v>
      </c>
      <c r="DK2" s="49" t="str">
        <f>IF(ROW(DI2)-ROW(DI$2)+1&gt;COUNT(DJ$2:DJ$12),"",INDEX(DI:DI,SMALL(DJ$2:DJ$12,1+ROW(DI2)-ROW(DI$2))))</f>
        <v>Unit 3 - Communicating Ideas in 2D</v>
      </c>
      <c r="DL2" s="47"/>
      <c r="DM2" s="47" t="s">
        <v>84</v>
      </c>
      <c r="DN2" s="47">
        <f>IF(COUNTIF(Diploma!list1,DM2)&gt;=1,"",ROW())</f>
        <v>2</v>
      </c>
      <c r="DO2" s="49" t="str">
        <f>IF(ROW(DM2)-ROW(DM$2)+1&gt;COUNT(DN$2:DN$14),"",INDEX(DM:DM,SMALL(DN$2:DN$14,1+ROW(DM2)-ROW(DM$2))))</f>
        <v>Unit 3 - Communicating Ideas in 2D</v>
      </c>
      <c r="DP2" s="47"/>
      <c r="DQ2" s="47" t="s">
        <v>84</v>
      </c>
      <c r="DR2" s="47">
        <f>IF(COUNTIF(Diploma!list1,DQ2)&gt;=1,"",ROW())</f>
        <v>2</v>
      </c>
      <c r="DS2" s="49" t="str">
        <f>IF(ROW(DQ2)-ROW(DQ$2)+1&gt;COUNT(DR$2:DR$12),"",INDEX(DQ:DQ,SMALL(DR$2:DR$12,1+ROW(DQ2)-ROW(DQ$2))))</f>
        <v>Unit 3 - Communicating Ideas in 2D</v>
      </c>
      <c r="DT2" s="47"/>
      <c r="DU2" s="47" t="str">
        <f>IF(DW21=1,"","Unit 3 - Communicating Ideas in 2D")</f>
        <v>Unit 3 - Communicating Ideas in 2D</v>
      </c>
      <c r="DV2" s="47">
        <f>IF(COUNTIF(Diploma!list1,DU2)&gt;=1,"",ROW())</f>
        <v>2</v>
      </c>
      <c r="DW2" s="49" t="str">
        <f>IF(ROW(DU2)-ROW(DU$2)+1&gt;COUNT(DV$2:DV$18),"",INDEX(DU:DU,SMALL(DV$2:DV$18,1+ROW(DU2)-ROW(DU$2))))</f>
        <v>Unit 3 - Communicating Ideas in 2D</v>
      </c>
      <c r="DX2" s="47"/>
      <c r="DY2" s="47" t="s">
        <v>270</v>
      </c>
      <c r="DZ2" s="47">
        <f>IF(COUNTIF(Diploma!list1,DY2)&gt;=1,"",ROW())</f>
        <v>2</v>
      </c>
      <c r="EA2" s="49" t="str">
        <f>IF(ROW(DY2)-ROW(DY$2)+1&gt;COUNT(DZ$2:DZ$13),"",INDEX(DY:DY,SMALL(DZ$2:DZ$13,1+ROW(DY2)-ROW(DY$2))))</f>
        <v>Unit 8 - Using Mobile Devices in Art and Design</v>
      </c>
      <c r="EB2" s="47"/>
      <c r="EC2" s="47" t="s">
        <v>262</v>
      </c>
      <c r="ED2" s="47">
        <f>IF(COUNTIF(Diploma!list1,EC2)&gt;=1,"",ROW())</f>
        <v>2</v>
      </c>
      <c r="EE2" s="49" t="str">
        <f>IF(ROW(EC2)-ROW(EC$2)+1&gt;COUNT(ED$2:ED$16),"",INDEX(EC:EC,SMALL(ED$2:ED$16,1+ROW(EC2)-ROW(EC$2))))</f>
        <v>Unit 4 - Communicating Ideas in 3D</v>
      </c>
      <c r="EF2" s="47"/>
      <c r="EG2" s="47" t="s">
        <v>263</v>
      </c>
      <c r="EH2" s="47">
        <f>IF(COUNTIF(Certificate!$G$17:$G$21,EG2)&gt;=1,"",ROW())</f>
        <v>2</v>
      </c>
      <c r="EI2" s="49" t="s">
        <v>263</v>
      </c>
      <c r="EJ2" s="47"/>
      <c r="EK2" s="14" t="str">
        <f>IF(OR(AF15=1,AF12=1),"","Unit 5 - Enterprise in the Hospitality Industry")</f>
        <v>Unit 5 - Enterprise in the Hospitality Industry</v>
      </c>
      <c r="EL2">
        <f t="shared" ref="EL2:EL13" si="6">IF(COUNTIF(list2,EK2)&gt;=1,"",ROW())</f>
        <v>2</v>
      </c>
      <c r="EM2" s="49" t="str">
        <f>IF(ROW(EK2)-ROW(EK$2)+1&gt;COUNT(EL$2:EL$13),"",INDEX(EK:EK,SMALL(EL$2:EL$13,1+ROW(EK2)-ROW(EK$2))))</f>
        <v>Unit 5 - Enterprise in the Hospitality Industry</v>
      </c>
      <c r="EN2" s="47"/>
      <c r="EO2" s="47" t="s">
        <v>362</v>
      </c>
      <c r="EP2" s="47">
        <f t="shared" ref="EP2:EP16" si="7">IF(COUNTIF(list2,EO2)&gt;=1,"",ROW())</f>
        <v>2</v>
      </c>
      <c r="EQ2" s="49" t="str">
        <f>IF(ROW(EO2)-ROW(EO$2)+1&gt;COUNT(EP$2:EP$16),"",INDEX(EO:EO,SMALL(EP$2:EP$16,1+ROW(EO2)-ROW(EO$2))))</f>
        <v>Unit 11 - Developing Solo Music Performance</v>
      </c>
      <c r="ES2" s="14" t="s">
        <v>396</v>
      </c>
      <c r="ET2" s="47">
        <f>IF(COUNTIF('Extended Certificate'!$G$21:$G$29,ES2)&gt;=1,"",ROW())</f>
        <v>2</v>
      </c>
      <c r="EU2" s="49" t="str">
        <f>IF(ROW(ES2)-ROW(ES$2)+1&gt;COUNT(ET$2:ET$17),"",INDEX(ES:ES,SMALL(ET$2:ET$17,1+ROW(ES2)-ROW(ES$2))))</f>
        <v xml:space="preserve">Unit 9 - Practical Scientific Project </v>
      </c>
      <c r="EW2" t="s">
        <v>171</v>
      </c>
      <c r="EX2" s="47">
        <f>IF(COUNTIF('Extended Certificate'!$G$21:$G$29,EW2)&gt;=1,"",ROW())</f>
        <v>2</v>
      </c>
      <c r="EY2" s="49" t="str">
        <f>IF(ROW(EW2)-ROW(EW$2)+1&gt;COUNT(EX$2:EX$15),"",INDEX(EW:EW,SMALL(EX$2:EX$15,1+ROW(EW2)-ROW(EW$2))))</f>
        <v>Unit 3 - Employment in the Public Services</v>
      </c>
      <c r="FA2" s="14" t="s">
        <v>271</v>
      </c>
      <c r="FB2">
        <f t="shared" ref="FB2:FB11" si="8">IF(COUNTIF(list2,FA2)&gt;=1,"",ROW())</f>
        <v>2</v>
      </c>
      <c r="FC2" s="49" t="str">
        <f>IF(ROW(FA2)-ROW(FA$2)+1&gt;COUNT(FB$2:FB$11),"",INDEX(FA:FA,SMALL(FB$2:FB$11,1+ROW(FA2)-ROW(FA$2))))</f>
        <v>Unit 5 - Sales and Personal Selling</v>
      </c>
      <c r="FE2" s="14" t="str">
        <f>IF(OR(P20=1,P23=1,P26=1,P29=1,P32=1),"","Unit 5 - Construction Drawing Techniques")</f>
        <v>Unit 5 - Construction Drawing Techniques</v>
      </c>
      <c r="FF2">
        <f t="shared" ref="FF2:FF14" si="9">IF(COUNTIF(list2,FE2)&gt;=1,"",ROW())</f>
        <v>2</v>
      </c>
      <c r="FG2" s="123" t="str">
        <f>IF(ROW(FE2)-ROW(FE$2)+1&gt;COUNT(FF$2:FF$14),"",INDEX(FE:FE,SMALL(FF$2:FF$14,1+ROW(FE2)-ROW(FE$2))))</f>
        <v>Unit 5 - Construction Drawing Techniques</v>
      </c>
      <c r="FI2" t="s">
        <v>43</v>
      </c>
      <c r="FJ2">
        <f>IF(COUNTIF(list2,FI2)&gt;=1,"",ROW())</f>
        <v>2</v>
      </c>
      <c r="FK2" s="123" t="str">
        <f>IF(ROW(FI2)-ROW(FI$2)+1&gt;COUNT(FJ$2:FJ$6),"",INDEX(FI:FI,SMALL(FJ$2:FJ$6,1+ROW(FI2)-ROW(FI$2))))</f>
        <v>Unit 9 - Digital Editing for Moving Image</v>
      </c>
      <c r="FM2" t="s">
        <v>287</v>
      </c>
      <c r="FN2">
        <f t="shared" ref="FN2:FN8" si="10">IF(COUNTIF(list3,FM2)&gt;=1,"",ROW())</f>
        <v>2</v>
      </c>
      <c r="FO2" s="123" t="str">
        <f>IF(ROW(FM2)-ROW(FM$2)+1&gt;COUNT(FN$2:FN$8),"",INDEX(FM:FM,SMALL(FN$2:FN$8,1+ROW(FM2)-ROW(FM$2))))</f>
        <v>Unit 12 - Digital Audio Editing</v>
      </c>
      <c r="FQ2" t="s">
        <v>103</v>
      </c>
      <c r="FR2">
        <f t="shared" ref="FR2:FR24" si="11">IF(COUNTIF(list2,FQ2)&gt;=1,"",ROW())</f>
        <v>2</v>
      </c>
      <c r="FS2" s="123" t="str">
        <f>IF(ROW(FQ2)-ROW(FQ$2)+1&gt;COUNT(FR$2:FR$24),"",INDEX(FQ:FQ,SMALL(FR$2:FR$24,1+ROW(FQ2)-ROW(FQ$2))))</f>
        <v>Unit 4 - Engineering Maintenance</v>
      </c>
      <c r="FU2" s="14" t="s">
        <v>251</v>
      </c>
      <c r="FV2">
        <f t="shared" ref="FV2:FV9" si="12">IF(COUNTIF(list2,FU2)&gt;=1,"",ROW())</f>
        <v>2</v>
      </c>
      <c r="FW2" s="123" t="str">
        <f>IF(ROW(FU2)-ROW(FU$2)+1&gt;COUNT(FV$2:FV$9),"",INDEX(FU:FU,SMALL(FV$2:FV$9,1+ROW(FU2)-ROW(FU$2))))</f>
        <v>Unit 4 - Social Influences on Health and Wellbeing</v>
      </c>
      <c r="FY2" s="14" t="s">
        <v>253</v>
      </c>
      <c r="FZ2">
        <f t="shared" ref="FZ2:FZ9" si="13">IF(COUNTIF(list2,FY2)&gt;=1,"",ROW())</f>
        <v>2</v>
      </c>
      <c r="GA2" s="123" t="str">
        <f>IF(ROW(FY2)-ROW(FY$2)+1&gt;COUNT(FZ$2:FZ$9),"",INDEX(FY:FY,SMALL(FZ$2:FZ$9,1+ROW(FY2)-ROW(FY$2))))</f>
        <v>Unit 4 - Creating Digital Animation</v>
      </c>
      <c r="GC2" s="14" t="s">
        <v>253</v>
      </c>
      <c r="GD2" s="47">
        <f>IF(COUNTIF(Diploma!list1,GC2)&gt;=1,"",ROW())</f>
        <v>2</v>
      </c>
      <c r="GE2" s="49" t="str">
        <f>IF(ROW(GC2)-ROW(GC$2)+1&gt;COUNT(GD$2:GD$17),"",INDEX(GC:GC,SMALL(GD$2:GD$17,1+ROW(GC2)-ROW(GC$2))))</f>
        <v>Unit 4 - Creating Digital Animation</v>
      </c>
      <c r="GG2" s="14" t="s">
        <v>253</v>
      </c>
      <c r="GH2" s="47">
        <f>IF(COUNTIF(Diploma!list1,GG2)&gt;=1,"",ROW())</f>
        <v>2</v>
      </c>
      <c r="GI2" s="49" t="str">
        <f>IF(ROW(GG2)-ROW(GG$2)+1&gt;COUNT(GH$2:GH$17),"",INDEX(GG:GG,SMALL(GH$2:GH$17,1+ROW(GG2)-ROW(GG$2))))</f>
        <v>Unit 4 - Creating Digital Animation</v>
      </c>
      <c r="GK2" s="14" t="s">
        <v>465</v>
      </c>
      <c r="GL2" s="47">
        <f>IF(COUNTIF(Diploma!list1,GK2)&gt;=1,"",ROW())</f>
        <v>2</v>
      </c>
      <c r="GM2" s="49" t="str">
        <f>IF(ROW(GK2)-ROW(GK$2)+1&gt;COUNT(GL$2:GL$7),"",INDEX(GK:GK,SMALL(GL$2:GL$7,1+ROW(GK2)-ROW(GK$2))))</f>
        <v>Unit 12 - Land Navigation by Map and Compass</v>
      </c>
      <c r="GO2" s="14" t="s">
        <v>171</v>
      </c>
      <c r="GP2" s="47">
        <f t="shared" ref="GP2:GP9" si="14">IF(COUNTIF(list2,GO2)&gt;=1,"",ROW())</f>
        <v>2</v>
      </c>
      <c r="GQ2" s="49" t="str">
        <f>IF(ROW(GO2)-ROW(GO$2)+1&gt;COUNT(GP$2:GP$9),"",INDEX(GO:GO,SMALL(GP$2:GP$9,1+ROW(GO2)-ROW(GO$2))))</f>
        <v>Unit 3 - Employment in the Public Services</v>
      </c>
      <c r="GS2" s="14" t="s">
        <v>128</v>
      </c>
      <c r="GT2" s="47">
        <f t="shared" ref="GT2:GT10" si="15">IF(COUNTIF(list2,GS2)&gt;=1,"",ROW())</f>
        <v>2</v>
      </c>
      <c r="GU2" s="49" t="str">
        <f>IF(ROW(GS2)-ROW(GS$2)+1&gt;COUNT(GT$2:GT$10),"",INDEX(GS:GS,SMALL(GT$2:GT$10,1+ROW(GS2)-ROW(GS$2))))</f>
        <v>Unit 6 - Leading Sports Activities</v>
      </c>
      <c r="GW2" s="23" t="s">
        <v>629</v>
      </c>
      <c r="GX2" s="47">
        <f>IF(COUNTIF(Diploma!list1,GW2)&gt;=1,"",ROW())</f>
        <v>2</v>
      </c>
      <c r="GY2" s="49" t="str">
        <f>IF(ROW(GW2)-ROW(GW$2)+1&gt;COUNT(GX$2:GX$6),"",INDEX(GW:GW,SMALL(GX$2:GX$6,1+ROW(GW2)-ROW(GW$2))))</f>
        <v>Unit 18 - Expedition Experience</v>
      </c>
      <c r="HA2" s="55" t="s">
        <v>128</v>
      </c>
      <c r="HB2" s="47">
        <f t="shared" ref="HB2:HB13" si="16">IF(COUNTIF(list2,HA2)&gt;=1,"",ROW())</f>
        <v>2</v>
      </c>
      <c r="HC2" s="49" t="str">
        <f>IF(ROW(HA2)-ROW(HA$2)+1&gt;COUNT(HB$2:HB$13),"",INDEX(HA:HA,SMALL(HB$2:HB$13,1+ROW(HA2)-ROW(HA$2))))</f>
        <v>Unit 6 - Leading Sports Activities</v>
      </c>
      <c r="HE2" s="23" t="s">
        <v>627</v>
      </c>
      <c r="HF2" s="47">
        <f>IF(COUNTIF(Diploma!list1,HE2)&gt;=1,"",ROW())</f>
        <v>2</v>
      </c>
      <c r="HG2" s="49" t="str">
        <f>IF(ROW(HE2)-ROW(HE$2)+1&gt;COUNT(HF$2:HF$3),"",INDEX(HE:HE,SMALL(HF$2:HF$3,1+ROW(HE2)-ROW(HE$2))))</f>
        <v>Unit 17 - Facility Operations for Sport and Leisure</v>
      </c>
      <c r="HI2" s="55" t="s">
        <v>128</v>
      </c>
      <c r="HJ2" s="47">
        <f t="shared" ref="HJ2:HJ8" si="17">IF(COUNTIF(list2,HI2)&gt;=1,"",ROW())</f>
        <v>2</v>
      </c>
      <c r="HK2" s="49" t="str">
        <f>IF(ROW(HI2)-ROW(HI$2)+1&gt;COUNT(HJ$2:HJ$8),"",INDEX(HI:HI,SMALL(HJ$2:HJ$8,1+ROW(HI2)-ROW(HI$2))))</f>
        <v>Unit 6 - Leading Sports Activities</v>
      </c>
      <c r="HM2" s="23" t="s">
        <v>286</v>
      </c>
      <c r="HN2" s="47">
        <f t="shared" ref="HN2:HN10" si="18">IF(COUNTIF(list2,HM2)&gt;=1,"",ROW())</f>
        <v>2</v>
      </c>
      <c r="HO2" s="49" t="str">
        <f>IF(ROW(HM2)-ROW(HM$2)+1&gt;COUNT(HN$2:HN$10),"",INDEX(HM:HM,SMALL(HN$2:HN$10,1+ROW(HM2)-ROW(HM$2))))</f>
        <v>Unit 8 - Promotion and Sales in Travel and Tourism</v>
      </c>
      <c r="HQ2" s="120" t="s">
        <v>542</v>
      </c>
      <c r="HR2" s="47">
        <f>IF(COUNTIF(Diploma!list1,HQ2)&gt;=1,"",ROW())</f>
        <v>2</v>
      </c>
      <c r="HS2" s="49" t="str">
        <f>IF(ROW(HQ2)-ROW(HQ$2)+1&gt;COUNT(HR$2:HR$10),"",INDEX(HQ:HQ,SMALL(HR$2:HR$10,1+ROW(HQ2)-ROW(HQ$2))))</f>
        <v>Unit 23 - Electronic Devices and Communication Applications</v>
      </c>
      <c r="HU2" s="55" t="s">
        <v>103</v>
      </c>
      <c r="HV2" s="47">
        <f t="shared" ref="HV2:HV8" si="19">IF(COUNTIF(list2,HU2)&gt;=1,"",ROW())</f>
        <v>2</v>
      </c>
      <c r="HW2" s="49" t="str">
        <f>IF(ROW(HU2)-ROW(HU$2)+1&gt;COUNT(HV$2:HV$8),"",INDEX(HU:HU,SMALL(HV$2:HV$8,1+ROW(HU2)-ROW(HU$2))))</f>
        <v>Unit 4 - Engineering Maintenance</v>
      </c>
      <c r="HY2" s="130" t="s">
        <v>555</v>
      </c>
      <c r="HZ2" s="47">
        <f>IF(COUNTIF(Diploma!list1,HY2)&gt;=1,"",ROW())</f>
        <v>2</v>
      </c>
      <c r="IA2" s="49" t="str">
        <f>IF(ROW(HY2)-ROW(HY$2)+1&gt;COUNT(HZ$2:HZ$5),"",INDEX(HY:HY,SMALL(HZ$2:HZ$5,1+ROW(HY2)-ROW(HY$2))))</f>
        <v>Unit 24 - Operation and Maintenance of Mechanical Systems and Components</v>
      </c>
      <c r="IC2" s="55" t="s">
        <v>107</v>
      </c>
      <c r="ID2" s="47">
        <f t="shared" ref="ID2:ID8" si="20">IF(COUNTIF(list2,IC2)&gt;=1,"",ROW())</f>
        <v>2</v>
      </c>
      <c r="IE2" s="49" t="str">
        <f>IF(ROW(IC2)-ROW(IC$2)+1&gt;COUNT(ID$2:ID$8),"",INDEX(IC:IC,SMALL(ID$2:ID$8,1+ROW(IC2)-ROW(IC$2))))</f>
        <v>Unit 8 - Electronic Circuit Design and Construction</v>
      </c>
      <c r="IG2" s="54" t="s">
        <v>427</v>
      </c>
      <c r="IH2" s="47">
        <f>IF(COUNTIF(Diploma!list1,IG2)&gt;=1,"",ROW())</f>
        <v>2</v>
      </c>
      <c r="II2" s="49" t="str">
        <f>IF(ROW(IG2)-ROW(IG$2)+1&gt;COUNT(IH$2:IH$4),"",INDEX(IG:IG,SMALL(IH$2:IH$4,1+ROW(IG2)-ROW(IG$2))))</f>
        <v>Unit 15 - Operating an Efficient Workplace</v>
      </c>
      <c r="IK2" s="55" t="s">
        <v>103</v>
      </c>
      <c r="IL2" s="47">
        <f t="shared" ref="IL2:IL13" si="21">IF(COUNTIF(list2,IK2)&gt;=1,"",ROW())</f>
        <v>2</v>
      </c>
      <c r="IM2" s="49" t="str">
        <f>IF(ROW(IK2)-ROW(IK$2)+1&gt;COUNT(IL$2:IL$13),"",INDEX(IK:IK,SMALL(IL$2:IL$13,1+ROW(IK2)-ROW(IK$2))))</f>
        <v>Unit 4 - Engineering Maintenance</v>
      </c>
      <c r="IO2" s="55" t="s">
        <v>106</v>
      </c>
      <c r="IP2" s="47">
        <f>IF(COUNTIF(Diploma!list1,IO2)&gt;=1,"",ROW())</f>
        <v>2</v>
      </c>
      <c r="IQ2" s="49" t="str">
        <f>IF(ROW(IO2)-ROW(IO$2)+1&gt;COUNT(IP$2:IP$4),"",INDEX(IO:IO,SMALL(IP$2:IP$4,1+ROW(IO2)-ROW(IO$2))))</f>
        <v>Unit 7 - Machining Techniques</v>
      </c>
      <c r="IS2" s="55" t="s">
        <v>103</v>
      </c>
      <c r="IT2" s="47">
        <f t="shared" ref="IT2:IT12" si="22">IF(COUNTIF(list2,IS2)&gt;=1,"",ROW())</f>
        <v>2</v>
      </c>
      <c r="IU2" s="49" t="str">
        <f>IF(ROW(IS2)-ROW(IS$2)+1&gt;COUNT(IT$2:IT$12),"",INDEX(IS:IS,SMALL(IT$2:IT$12,1+ROW(IS2)-ROW(IS$2))))</f>
        <v>Unit 4 - Engineering Maintenance</v>
      </c>
    </row>
    <row r="3" spans="1:255" ht="15" customHeight="1">
      <c r="A3" s="14" t="str">
        <f>IF(OR(C48=1,C42=1,C51=1,C54=1,C57=1),"","Unit 4 - Communicating Ideas in 3D")</f>
        <v>Unit 4 - Communicating Ideas in 3D</v>
      </c>
      <c r="B3" s="47">
        <f>IF(COUNTIF(Diploma!list1,A3)&gt;=1,"",ROW())</f>
        <v>3</v>
      </c>
      <c r="C3" s="47" t="str">
        <f t="shared" ref="C3:C35" si="23">IF(ROW(A3)-ROW(A$2)+1&gt;COUNT(B$2:B$35),"",INDEX(A:A,SMALL(B$2:B$35,1+ROW(A3)-ROW(A$2))))</f>
        <v>Unit 4 - Communicating Ideas in 3D</v>
      </c>
      <c r="E3" s="33" t="s">
        <v>504</v>
      </c>
      <c r="F3" s="47">
        <f>IF(COUNTIF(Diploma!list1,E3)&gt;=1,"",ROW())</f>
        <v>3</v>
      </c>
      <c r="G3" s="49" t="str">
        <f t="shared" ref="G3:G12" si="24">IF(ROW(E3)-ROW(E$2)+1&gt;COUNT(F$2:F$12),"",INDEX(E:E,SMALL(F$2:F$12,1+ROW(E3)-ROW(E$2))))</f>
        <v>Unit 20 - Delivering and Improving Customer Service</v>
      </c>
      <c r="I3" s="23" t="s">
        <v>264</v>
      </c>
      <c r="J3" s="47">
        <f>IF(COUNTIF(Certificate!$G$17:$G$21,I3)&gt;=1,"",ROW())</f>
        <v>3</v>
      </c>
      <c r="K3" s="49" t="str">
        <f>IF(ROW(I3)-ROW(I$2)+1&gt;COUNT(J$2:J$5),"",INDEX(I:I,SMALL(J$2:J$5,1+ROW(I3)-ROW(I$2))))</f>
        <v>Unit 6 - Supporting Children’s Language and Literacy Development</v>
      </c>
      <c r="L3" s="47"/>
      <c r="M3" s="47" t="str">
        <f>IF(OR(P20=1,P26=1,P29=1,P32=1),"","Unit 17 - Brickwork and Blockwork Operations")</f>
        <v>Unit 17 - Brickwork and Blockwork Operations</v>
      </c>
      <c r="N3" s="47">
        <f>IF(COUNTIF(Diploma!list1,M3)&gt;=1,"",ROW())</f>
        <v>3</v>
      </c>
      <c r="O3" s="49" t="str">
        <f t="shared" ref="O3:O9" si="25">IF(ROW(M3)-ROW(M$2)+1&gt;COUNT(N$2:N$17),"",INDEX(M:M,SMALL(N$2:N$17,1+ROW(M3)-ROW(M$2))))</f>
        <v>Unit 17 - Brickwork and Blockwork Operations</v>
      </c>
      <c r="P3" s="47"/>
      <c r="Q3" s="14" t="s">
        <v>21</v>
      </c>
      <c r="R3" s="47">
        <f>IF(COUNTIF(Diploma!list1,Q3)&gt;=1,"",ROW())</f>
        <v>3</v>
      </c>
      <c r="S3" s="49" t="str">
        <f t="shared" ref="S3:S6" si="26">IF(ROW(Q3)-ROW(Q$2)+1&gt;COUNT(R$2:R$6),"",INDEX(Q:Q,SMALL(R$2:R$6,1+ROW(Q3)-ROW(Q$2))))</f>
        <v>Unit 4 - Digital Audio Production</v>
      </c>
      <c r="T3" s="47"/>
      <c r="U3" s="14" t="s">
        <v>107</v>
      </c>
      <c r="V3" s="47">
        <f>IF(COUNTIF(Diploma!list1,U3)&gt;=1,"",ROW())</f>
        <v>3</v>
      </c>
      <c r="W3" s="49" t="str">
        <f t="shared" ref="W3:W6" si="27">IF(ROW(U3)-ROW(U$2)+1&gt;COUNT(V$2:V$6),"",INDEX(U:U,SMALL(V$2:V$6,1+ROW(U3)-ROW(U$2))))</f>
        <v>Unit 8 - Electronic Circuit Design and Construction</v>
      </c>
      <c r="X3" s="47"/>
      <c r="Y3" s="23" t="s">
        <v>311</v>
      </c>
      <c r="Z3" s="47">
        <f>IF(COUNTIF(Diploma!list1,Y3)&gt;=1,"",ROW())</f>
        <v>3</v>
      </c>
      <c r="AA3" s="49" t="str">
        <f t="shared" ref="AA3:AA9" si="28">IF(ROW(Y3)-ROW(Y$2)+1&gt;COUNT(Z$2:Z$9),"",INDEX(Y:Y,SMALL(Z$2:Z$9,1+ROW(Y3)-ROW(Y$2))))</f>
        <v>Unit 12 - Creative and Therapeutic Activities in Health and Social Care</v>
      </c>
      <c r="AB3" s="47"/>
      <c r="AC3" s="14" t="str">
        <f>IF(AND(AF15=0,AF12=1),"","Unit 6 - Planning, Preparing, Cooking and Finishing Food")</f>
        <v>Unit 6 - Planning, Preparing, Cooking and Finishing Food</v>
      </c>
      <c r="AD3" s="47">
        <f>IF(COUNTIF(Diploma!list1,AC3)&gt;=1,"",ROW())</f>
        <v>3</v>
      </c>
      <c r="AE3" s="49" t="str">
        <f t="shared" ref="AE3:AE6" si="29">IF(ROW(AC3)-ROW(AC$2)+1&gt;COUNT(AD$2:AD$6),"",INDEX(AC:AC,SMALL(AD$2:AD$6,1+ROW(AC3)-ROW(AC$2))))</f>
        <v>Unit 6 - Planning, Preparing, Cooking and Finishing Food</v>
      </c>
      <c r="AF3" s="47"/>
      <c r="AG3" s="14" t="s">
        <v>266</v>
      </c>
      <c r="AH3" s="47">
        <f>IF(COUNTIF(Certificate!$G$17:$G$21,AG3)&gt;=1,"",ROW())</f>
        <v>3</v>
      </c>
      <c r="AI3" s="49" t="str">
        <f>IF(ROW(AG3)-ROW(AG$2)+1&gt;COUNT(AH$2:AH$3),"",INDEX(AG:AG,SMALL(AH$2:AH$3,1+ROW(AG3)-ROW(AG$2))))</f>
        <v>Unit 2 - Technology Systems</v>
      </c>
      <c r="AJ3" s="47"/>
      <c r="AK3" s="23" t="s">
        <v>144</v>
      </c>
      <c r="AL3" s="47">
        <f>IF(COUNTIF(Diploma!list1,AK3)&gt;=1,"",ROW())</f>
        <v>3</v>
      </c>
      <c r="AM3" s="49" t="str">
        <f t="shared" ref="AM3:AM12" si="30">IF(ROW(AK3)-ROW(AK$2)+1&gt;COUNT(AL$2:AL$12),"",INDEX(AK:AK,SMALL(AL$2:AL$12,1+ROW(AK3)-ROW(AK$2))))</f>
        <v>Unit 11 - Computer Networks</v>
      </c>
      <c r="AN3" s="47"/>
      <c r="AO3" s="14" t="s">
        <v>32</v>
      </c>
      <c r="AP3" s="47">
        <f>IF(COUNTIF(Diploma!list1,AO3)&gt;=1,"",ROW())</f>
        <v>3</v>
      </c>
      <c r="AQ3" s="49" t="str">
        <f t="shared" ref="AQ3:AQ8" si="31">IF(ROW(AO3)-ROW(AO$2)+1&gt;COUNT(AP$2:AP$8),"",INDEX(AO:AO,SMALL(AP$2:AP$8,1+ROW(AO3)-ROW(AO$2))))</f>
        <v>Unit 4 - Introducing Music Composition</v>
      </c>
      <c r="AR3" s="47"/>
      <c r="AS3" s="14" t="s">
        <v>121</v>
      </c>
      <c r="AT3" s="50">
        <f>IF(COUNTIF(Diploma!list1,AS3)&gt;=1,"",ROW())</f>
        <v>3</v>
      </c>
      <c r="AU3" s="49" t="str">
        <f t="shared" ref="AU3:AU7" si="32">IF(ROW(AS3)-ROW(AS$2)+1&gt;COUNT(AT$2:AT$6),"",INDEX(AS:AS,SMALL(AT$2:AT$6,1+ROW(AS3)-ROW(AS$2))))</f>
        <v>Unit 4 - Dance Skills</v>
      </c>
      <c r="AV3" s="47"/>
      <c r="AW3" s="14" t="s">
        <v>259</v>
      </c>
      <c r="AX3" s="50">
        <f t="shared" si="0"/>
        <v>3</v>
      </c>
      <c r="AY3" s="49" t="str">
        <f t="shared" ref="AY3:AY30" si="33">IF(ROW(AW3)-ROW(AW$2)+1&gt;COUNT(AX$2:AX$30),"",INDEX(AW:AW,SMALL(AX$2:AX$30,1+ROW(AW3)-ROW(AW$2))))</f>
        <v>Unit 11 - Devising Performance Work</v>
      </c>
      <c r="AZ3" s="47"/>
      <c r="BA3" s="14" t="s">
        <v>267</v>
      </c>
      <c r="BB3" s="50">
        <f>IF(COUNTIF(Certificate!$G$23:$G$25,BA3)&gt;=1,"",ROW())</f>
        <v>3</v>
      </c>
      <c r="BC3" s="49" t="str">
        <f t="shared" si="1"/>
        <v>Unit 10 - Movement Skills</v>
      </c>
      <c r="BD3" s="47"/>
      <c r="BE3" s="23" t="s">
        <v>284</v>
      </c>
      <c r="BF3" s="50">
        <f>IF(COUNTIF(Diploma!list1,BE3)&gt;=1,"",ROW())</f>
        <v>3</v>
      </c>
      <c r="BG3" s="49" t="str">
        <f t="shared" ref="BG3:BG11" si="34">IF(ROW(BE3)-ROW(BE$2)+1&gt;COUNT(BF$2:BF$11),"",INDEX(BE:BE,SMALL(BF$2:BF$11,1+ROW(BE3)-ROW(BE$2))))</f>
        <v>Unit 12 - Exploring Improvisation</v>
      </c>
      <c r="BH3" s="47"/>
      <c r="BI3" s="14" t="s">
        <v>268</v>
      </c>
      <c r="BJ3" s="50">
        <f t="shared" si="2"/>
        <v>3</v>
      </c>
      <c r="BK3" s="47" t="str">
        <f t="shared" ref="BK3:BK9" si="35">IF(ROW(BI3)-ROW(BI$2)+1&gt;COUNT(BJ$2:BJ$10),"",INDEX(BI:BI,SMALL(BJ$2:BJ$10,1+ROW(BI3)-ROW(BI$2))))</f>
        <v>Unit 17 - Exploring Urban Dance Styles</v>
      </c>
      <c r="BL3" s="47"/>
      <c r="BM3" s="14" t="s">
        <v>277</v>
      </c>
      <c r="BN3" s="50">
        <f>IF(COUNTIF('Extended Certificate'!$G$39,BM3)&gt;=1,"",ROW())</f>
        <v>3</v>
      </c>
      <c r="BO3" s="47" t="str">
        <f t="shared" si="3"/>
        <v>Unit 20 - Realising Costume Design for Performance</v>
      </c>
      <c r="BP3" s="47"/>
      <c r="BQ3" s="51"/>
      <c r="BR3" s="50"/>
      <c r="BS3" s="51"/>
      <c r="BT3" s="47"/>
      <c r="BU3" s="14" t="s">
        <v>259</v>
      </c>
      <c r="BV3" s="50">
        <f>IF(COUNTIF(Diploma!list1,BU3)&gt;=1,"",ROW())</f>
        <v>3</v>
      </c>
      <c r="BW3" s="49" t="str">
        <f t="shared" ref="BW3:BW11" si="36">IF(ROW(BU3)-ROW(BU$2)+1&gt;COUNT(BV$2:BV$12),"",INDEX(BU:BU,SMALL(BV$2:BV$12,1+ROW(BU3)-ROW(BU$2))))</f>
        <v>Unit 11 - Devising Performance Work</v>
      </c>
      <c r="BX3" s="47"/>
      <c r="BY3" s="14" t="s">
        <v>258</v>
      </c>
      <c r="BZ3" s="50">
        <f t="shared" si="4"/>
        <v>3</v>
      </c>
      <c r="CA3" s="49" t="str">
        <f t="shared" ref="CA3:CA8" si="37">IF(ROW(BY3)-ROW(BY$2)+1&gt;COUNT(BZ$2:BZ$8),"",INDEX(BY:BY,SMALL(BZ$2:BZ$8,1+ROW(BY3)-ROW(BY$2))))</f>
        <v>Unit 15 - Performing Scripted Plays</v>
      </c>
      <c r="CB3" s="47"/>
      <c r="CC3" s="14" t="s">
        <v>277</v>
      </c>
      <c r="CD3" s="50">
        <f>IF(COUNTIF('Extended Certificate'!$G$39,CC3)&gt;=1,"",ROW())</f>
        <v>3</v>
      </c>
      <c r="CE3" s="47" t="str">
        <f t="shared" ref="CE3:CE10" si="38">IF(ROW(CC3)-ROW(CC$2)+1&gt;COUNT(CD$2:CD$10),"",INDEX(CC:CC,SMALL(CD$2:CD$10,1+ROW(CC3)-ROW(CC$2))))</f>
        <v>Unit 20 - Realising Costume Design for Performance</v>
      </c>
      <c r="CF3" s="47"/>
      <c r="CG3" s="14" t="s">
        <v>267</v>
      </c>
      <c r="CH3" s="50">
        <f>IF(COUNTIF('Extended Certificate'!$G$21:$G$29,CG3)&gt;=1,"",ROW())</f>
        <v>3</v>
      </c>
      <c r="CI3" s="49" t="str">
        <f>IF(ROW(CG3)-ROW(CG$2)+1&gt;COUNT(CH$2:CH$6),"",INDEX(BE:BE,SMALL(CH$2:CH$6,1+ROW(CG3)-ROW(CG$2))))</f>
        <v>Unit 12 - Exploring Improvisation</v>
      </c>
      <c r="CJ3" s="47"/>
      <c r="CK3" s="14" t="s">
        <v>255</v>
      </c>
      <c r="CL3" s="50">
        <f>IF(COUNTIF(Certificate!$G$23:$G$25,CK3)&gt;=1,"",ROW())</f>
        <v>3</v>
      </c>
      <c r="CM3" s="47" t="str">
        <f t="shared" si="5"/>
        <v>Unit 16 - Contemporary Dance Techniques</v>
      </c>
      <c r="CN3" s="47"/>
      <c r="CO3" s="55" t="s">
        <v>277</v>
      </c>
      <c r="CP3" s="50">
        <f>IF(COUNTIF(Diploma!list1,CO3)&gt;=1,"",ROW())</f>
        <v>3</v>
      </c>
      <c r="CQ3" s="49" t="str">
        <f t="shared" ref="CQ3:CQ16" si="39">IF(ROW(CO3)-ROW(CO$2)+1&gt;COUNT(CP$2:CP$16),"",INDEX(CO:CO,SMALL(CP$2:CP$16,1+ROW(CO3)-ROW(CO$2))))</f>
        <v>Unit 20 - Realising Costume Design for Performance</v>
      </c>
      <c r="CR3" s="47"/>
      <c r="CS3" s="97" t="s">
        <v>291</v>
      </c>
      <c r="CT3" s="50">
        <f>IF(COUNTIF(list2,CS3)&gt;=1,"",ROW())</f>
        <v>3</v>
      </c>
      <c r="CU3" s="49" t="str">
        <f t="shared" ref="CU3:CU5" si="40">IF(ROW(CS3)-ROW(CS$2)+1&gt;COUNT(CT$2:CT$5),"",INDEX(CS:CS,SMALL(CT$2:CT$5,1+ROW(CS3)-ROW(CS$2))))</f>
        <v>Unit 13 - Multimedia Performance</v>
      </c>
      <c r="CV3" s="47"/>
      <c r="CW3" s="23" t="s">
        <v>627</v>
      </c>
      <c r="CX3" s="50">
        <f>IF(COUNTIF(Diploma!list1,CW3)&gt;=1,"",ROW())</f>
        <v>3</v>
      </c>
      <c r="CY3" s="49" t="str">
        <f t="shared" ref="CY3:CY9" si="41">IF(ROW(CW3)-ROW(CW$2)+1&gt;COUNT(CX$2:CX$9),"",INDEX(CW:CW,SMALL(CX$2:CX$9,1+ROW(CW3)-ROW(CW$2))))</f>
        <v>Unit 17 - Facility Operations for Sport and Leisure</v>
      </c>
      <c r="CZ3" s="47"/>
      <c r="DA3" s="23" t="s">
        <v>643</v>
      </c>
      <c r="DB3" s="47">
        <f>IF(COUNTIF(Diploma!list1,DA3)&gt;=1,"",ROW())</f>
        <v>3</v>
      </c>
      <c r="DC3" s="49" t="str">
        <f t="shared" ref="DC3:DC5" si="42">IF(ROW(DA3)-ROW(DA$2)+1&gt;COUNT(DB$2:DB$5),"",INDEX(DA:DA,SMALL(DB$2:DB$5,1+ROW(DA3)-ROW(DA$2))))</f>
        <v>Unit 13 - Airports and Airlines</v>
      </c>
      <c r="DD3" s="47"/>
      <c r="DE3" s="47" t="s">
        <v>44</v>
      </c>
      <c r="DF3" s="47">
        <f>IF(COUNTIF('Extended Certificate'!$G$31:$G$37,DE3)&gt;=1,"",ROW())</f>
        <v>3</v>
      </c>
      <c r="DG3" s="49" t="str">
        <f t="shared" ref="DG3:DG10" si="43">IF(ROW(DE3)-ROW(DE$2)+1&gt;COUNT(DF$2:DF$11),"",INDEX(DE:DE,SMALL(DF$2:DF$11,1+ROW(DE3)-ROW(DE$2))))</f>
        <v>Unit 10 - Digital Photography for a Media Product</v>
      </c>
      <c r="DH3" s="47"/>
      <c r="DI3" s="47" t="s">
        <v>443</v>
      </c>
      <c r="DJ3" s="47">
        <f>IF(COUNTIF(Diploma!list1,DI3)&gt;=1,"",ROW())</f>
        <v>3</v>
      </c>
      <c r="DK3" s="49" t="str">
        <f t="shared" ref="DK3:DK12" si="44">IF(ROW(DI3)-ROW(DI$2)+1&gt;COUNT(DJ$2:DJ$12),"",INDEX(DI:DI,SMALL(DJ$2:DJ$12,1+ROW(DI3)-ROW(DI$2))))</f>
        <v>Unit 17 - Art, Craft and Design in the Creative Industries</v>
      </c>
      <c r="DL3" s="47"/>
      <c r="DM3" s="47" t="s">
        <v>280</v>
      </c>
      <c r="DN3" s="47">
        <f>IF(COUNTIF(Diploma!list1,DM3)&gt;=1,"",ROW())</f>
        <v>3</v>
      </c>
      <c r="DO3" s="49" t="str">
        <f t="shared" ref="DO3:DO14" si="45">IF(ROW(DM3)-ROW(DM$2)+1&gt;COUNT(DN$2:DN$14),"",INDEX(DM:DM,SMALL(DN$2:DN$14,1+ROW(DM3)-ROW(DM$2))))</f>
        <v>Unit 9 - Design Crafts Briefs</v>
      </c>
      <c r="DP3" s="47"/>
      <c r="DQ3" s="47" t="s">
        <v>262</v>
      </c>
      <c r="DR3" s="47">
        <f>IF(COUNTIF(Diploma!list1,DQ3)&gt;=1,"",ROW())</f>
        <v>3</v>
      </c>
      <c r="DS3" s="49" t="str">
        <f t="shared" ref="DS3:DS12" si="46">IF(ROW(DQ3)-ROW(DQ$2)+1&gt;COUNT(DR$2:DR$12),"",INDEX(DQ:DQ,SMALL(DR$2:DR$12,1+ROW(DQ3)-ROW(DQ$2))))</f>
        <v>Unit 4 - Communicating Ideas in 3D</v>
      </c>
      <c r="DT3" s="47"/>
      <c r="DU3" s="47" t="str">
        <f>IF(OR(DW24=1,DW27=1),"","Unit 4 - Communicating Ideas in 3D")</f>
        <v>Unit 4 - Communicating Ideas in 3D</v>
      </c>
      <c r="DV3" s="47">
        <f>IF(COUNTIF(Diploma!list1,DU3)&gt;=1,"",ROW())</f>
        <v>3</v>
      </c>
      <c r="DW3" s="49" t="str">
        <f t="shared" ref="DW3:DW18" si="47">IF(ROW(DU3)-ROW(DU$2)+1&gt;COUNT(DV$2:DV$18),"",INDEX(DU:DU,SMALL(DV$2:DV$18,1+ROW(DU3)-ROW(DU$2))))</f>
        <v>Unit 4 - Communicating Ideas in 3D</v>
      </c>
      <c r="DX3" s="47"/>
      <c r="DY3" s="47" t="s">
        <v>297</v>
      </c>
      <c r="DZ3" s="47">
        <f>IF(COUNTIF(Diploma!list1,DY3)&gt;=1,"",ROW())</f>
        <v>3</v>
      </c>
      <c r="EA3" s="49" t="str">
        <f t="shared" ref="EA3:EA13" si="48">IF(ROW(DY3)-ROW(DY$2)+1&gt;COUNT(DZ$2:DZ$13),"",INDEX(DY:DY,SMALL(DZ$2:DZ$13,1+ROW(DY3)-ROW(DY$2))))</f>
        <v>Unit 14 - Photography Briefs</v>
      </c>
      <c r="EB3" s="47"/>
      <c r="EC3" s="47" t="s">
        <v>270</v>
      </c>
      <c r="ED3" s="47">
        <f>IF(COUNTIF(Diploma!list1,EC3)&gt;=1,"",ROW())</f>
        <v>3</v>
      </c>
      <c r="EE3" s="49" t="str">
        <f t="shared" ref="EE3:EE16" si="49">IF(ROW(EC3)-ROW(EC$2)+1&gt;COUNT(ED$2:ED$16),"",INDEX(EC:EC,SMALL(ED$2:ED$16,1+ROW(EC3)-ROW(EC$2))))</f>
        <v>Unit 8 - Using Mobile Devices in Art and Design</v>
      </c>
      <c r="EF3" s="47"/>
      <c r="EG3" s="47"/>
      <c r="EH3" s="47"/>
      <c r="EI3" s="49"/>
      <c r="EJ3" s="47"/>
      <c r="EK3" s="14" t="str">
        <f>IF(OR(AF15=1,AF12=1),"","Unit 10 - Marketing and Promotion in Hospitality")</f>
        <v>Unit 10 - Marketing and Promotion in Hospitality</v>
      </c>
      <c r="EL3">
        <f t="shared" si="6"/>
        <v>3</v>
      </c>
      <c r="EM3" s="49" t="str">
        <f t="shared" ref="EM3:EM12" si="50">IF(ROW(EK3)-ROW(EK$2)+1&gt;COUNT(EL$2:EL$13),"",INDEX(EK:EK,SMALL(EL$2:EL$13,1+ROW(EK3)-ROW(EK$2))))</f>
        <v>Unit 10 - Marketing and Promotion in Hospitality</v>
      </c>
      <c r="EN3" s="47"/>
      <c r="EO3" s="47" t="s">
        <v>39</v>
      </c>
      <c r="EP3" s="47">
        <f t="shared" si="7"/>
        <v>3</v>
      </c>
      <c r="EQ3" s="49" t="str">
        <f t="shared" ref="EQ3:EQ16" si="51">IF(ROW(EO3)-ROW(EO$2)+1&gt;COUNT(EP$2:EP$16),"",INDEX(EO:EO,SMALL(EP$2:EP$16,1+ROW(EO3)-ROW(EO$2))))</f>
        <v>Unit 12 - The Development of Music</v>
      </c>
      <c r="ES3" s="14" t="s">
        <v>397</v>
      </c>
      <c r="ET3" s="47">
        <f>IF(COUNTIF('Extended Certificate'!$G$21:$G$29,ES3)&gt;=1,"",ROW())</f>
        <v>3</v>
      </c>
      <c r="EU3" s="49" t="str">
        <f t="shared" ref="EU3:EU16" si="52">IF(ROW(ES3)-ROW(ES$2)+1&gt;COUNT(ET$2:ET$17),"",INDEX(ES:ES,SMALL(ET$2:ET$17,1+ROW(ES3)-ROW(ES$2))))</f>
        <v>Unit 10 - World Energy</v>
      </c>
      <c r="EW3" t="s">
        <v>460</v>
      </c>
      <c r="EX3" s="47">
        <f>IF(COUNTIF('Extended Certificate'!$G$21:$G$29,EW3)&gt;=1,"",ROW())</f>
        <v>3</v>
      </c>
      <c r="EY3" s="49" t="str">
        <f t="shared" ref="EY3:EY15" si="53">IF(ROW(EW3)-ROW(EW$2)+1&gt;COUNT(EX$2:EX$15),"",INDEX(EW:EW,SMALL(EX$2:EX$15,1+ROW(EW3)-ROW(EW$2))))</f>
        <v>Unit 4 - Public Services and Community Protection</v>
      </c>
      <c r="FA3" s="14" t="s">
        <v>91</v>
      </c>
      <c r="FB3">
        <f t="shared" si="8"/>
        <v>3</v>
      </c>
      <c r="FC3" s="49" t="str">
        <f t="shared" ref="FC3:FC11" si="54">IF(ROW(FA3)-ROW(FA$2)+1&gt;COUNT(FB$2:FB$11),"",INDEX(FA:FA,SMALL(FB$2:FB$11,1+ROW(FA3)-ROW(FA$2))))</f>
        <v>Unit 6 - Introducing Retail Business</v>
      </c>
      <c r="FE3" s="14" t="str">
        <f>IF(OR(P23=1,P26=1,P29=1,P32=1),"","Unit 6 - Exploring Carpentry and Joinery Principles and Techniques")</f>
        <v>Unit 6 - Exploring Carpentry and Joinery Principles and Techniques</v>
      </c>
      <c r="FF3">
        <f t="shared" si="9"/>
        <v>3</v>
      </c>
      <c r="FG3" s="123" t="str">
        <f t="shared" ref="FG3:FG14" si="55">IF(ROW(FE3)-ROW(FE$2)+1&gt;COUNT(FF$2:FF$14),"",INDEX(FE:FE,SMALL(FF$2:FF$14,1+ROW(FE3)-ROW(FE$2))))</f>
        <v>Unit 6 - Exploring Carpentry and Joinery Principles and Techniques</v>
      </c>
      <c r="FI3" t="s">
        <v>44</v>
      </c>
      <c r="FJ3">
        <f>IF(COUNTIF(list2,FI3)&gt;=1,"",ROW())</f>
        <v>3</v>
      </c>
      <c r="FK3" s="123" t="str">
        <f t="shared" ref="FK3:FK6" si="56">IF(ROW(FI3)-ROW(FI$2)+1&gt;COUNT(FJ$2:FJ$6),"",INDEX(FI:FI,SMALL(FJ$2:FJ$6,1+ROW(FI3)-ROW(FI$2))))</f>
        <v>Unit 10 - Digital Photography for a Media Product</v>
      </c>
      <c r="FM3" t="s">
        <v>47</v>
      </c>
      <c r="FN3">
        <f t="shared" si="10"/>
        <v>3</v>
      </c>
      <c r="FO3" s="123" t="str">
        <f t="shared" ref="FO3:FO8" si="57">IF(ROW(FM3)-ROW(FM$2)+1&gt;COUNT(FN$2:FN$8),"",INDEX(FM:FM,SMALL(FN$2:FN$8,1+ROW(FM3)-ROW(FM$2))))</f>
        <v>Unit 13 - Graphic Design for Digital Media</v>
      </c>
      <c r="FQ3" t="s">
        <v>105</v>
      </c>
      <c r="FR3">
        <f t="shared" si="11"/>
        <v>3</v>
      </c>
      <c r="FS3" s="123" t="str">
        <f t="shared" ref="FS3:FS24" si="58">IF(ROW(FQ3)-ROW(FQ$2)+1&gt;COUNT(FR$2:FR$24),"",INDEX(FQ:FQ,SMALL(FR$2:FR$24,1+ROW(FQ3)-ROW(FQ$2))))</f>
        <v>Unit 6 - Computer-aided Engineering</v>
      </c>
      <c r="FU3" s="14" t="s">
        <v>265</v>
      </c>
      <c r="FV3">
        <f t="shared" si="12"/>
        <v>3</v>
      </c>
      <c r="FW3" s="123" t="str">
        <f t="shared" ref="FW3:FW9" si="59">IF(ROW(FU3)-ROW(FU$2)+1&gt;COUNT(FV$2:FV$9),"",INDEX(FU:FU,SMALL(FV$2:FV$9,1+ROW(FU3)-ROW(FU$2))))</f>
        <v>Unit 5 - Promoting Health and Wellbeing</v>
      </c>
      <c r="FY3" s="23" t="s">
        <v>140</v>
      </c>
      <c r="FZ3">
        <f t="shared" si="13"/>
        <v>3</v>
      </c>
      <c r="GA3" s="123" t="str">
        <f t="shared" ref="GA3:GA9" si="60">IF(ROW(FY3)-ROW(FY$2)+1&gt;COUNT(FZ$2:FZ$9),"",INDEX(FY:FY,SMALL(FZ$2:FZ$9,1+ROW(FY3)-ROW(FY$2))))</f>
        <v>Unit 5 - Creating Digital Audio</v>
      </c>
      <c r="GC3" s="23" t="s">
        <v>140</v>
      </c>
      <c r="GD3" s="47">
        <f>IF(COUNTIF(Diploma!list1,GC3)&gt;=1,"",ROW())</f>
        <v>3</v>
      </c>
      <c r="GE3" s="49" t="str">
        <f t="shared" ref="GE3:GE17" si="61">IF(ROW(GC3)-ROW(GC$2)+1&gt;COUNT(GD$2:GD$17),"",INDEX(GC:GC,SMALL(GD$2:GD$17,1+ROW(GC3)-ROW(GC$2))))</f>
        <v>Unit 5 - Creating Digital Audio</v>
      </c>
      <c r="GG3" s="23" t="s">
        <v>140</v>
      </c>
      <c r="GH3" s="47">
        <f>IF(COUNTIF(Diploma!list1,GG3)&gt;=1,"",ROW())</f>
        <v>3</v>
      </c>
      <c r="GI3" s="49" t="str">
        <f t="shared" ref="GI3:GI16" si="62">IF(ROW(GG3)-ROW(GG$2)+1&gt;COUNT(GH$2:GH$17),"",INDEX(GG:GG,SMALL(GH$2:GH$17,1+ROW(GG3)-ROW(GG$2))))</f>
        <v>Unit 5 - Creating Digital Audio</v>
      </c>
      <c r="GK3" s="14" t="s">
        <v>466</v>
      </c>
      <c r="GL3" s="47">
        <f>IF(COUNTIF(Diploma!list1,GK3)&gt;=1,"",ROW())</f>
        <v>3</v>
      </c>
      <c r="GM3" s="49" t="str">
        <f t="shared" ref="GM3:GM7" si="63">IF(ROW(GK3)-ROW(GK$2)+1&gt;COUNT(GL$2:GL$7),"",INDEX(GK:GK,SMALL(GL$2:GL$7,1+ROW(GK3)-ROW(GK$2))))</f>
        <v>Unit 13 - Volunteering for the Public Services</v>
      </c>
      <c r="GO3" s="14" t="s">
        <v>460</v>
      </c>
      <c r="GP3" s="47">
        <f t="shared" si="14"/>
        <v>3</v>
      </c>
      <c r="GQ3" s="49" t="str">
        <f t="shared" ref="GQ3:GQ9" si="64">IF(ROW(GO3)-ROW(GO$2)+1&gt;COUNT(GP$2:GP$9),"",INDEX(GO:GO,SMALL(GP$2:GP$9,1+ROW(GO3)-ROW(GO$2))))</f>
        <v>Unit 4 - Public Services and Community Protection</v>
      </c>
      <c r="GS3" s="23" t="s">
        <v>293</v>
      </c>
      <c r="GT3" s="47">
        <f t="shared" si="15"/>
        <v>3</v>
      </c>
      <c r="GU3" s="49" t="str">
        <f t="shared" ref="GU3:GU10" si="65">IF(ROW(GS3)-ROW(GS$2)+1&gt;COUNT(GT$2:GT$10),"",INDEX(GS:GS,SMALL(GT$2:GT$10,1+ROW(GS3)-ROW(GS$2))))</f>
        <v>Unit 8 - Promotion and Sponsorship in Sport</v>
      </c>
      <c r="GW3" s="23" t="s">
        <v>630</v>
      </c>
      <c r="GX3" s="47">
        <f>IF(COUNTIF(Diploma!list1,GW3)&gt;=1,"",ROW())</f>
        <v>3</v>
      </c>
      <c r="GY3" s="49" t="str">
        <f t="shared" ref="GY3:GY6" si="66">IF(ROW(GW3)-ROW(GW$2)+1&gt;COUNT(GX$2:GX$6),"",INDEX(GW:GW,SMALL(GX$2:GX$6,1+ROW(GW3)-ROW(GW$2))))</f>
        <v>Unit 19 - Practical Land-based Outdoor and Adventurous Activities</v>
      </c>
      <c r="HA3" s="97" t="s">
        <v>293</v>
      </c>
      <c r="HB3" s="47">
        <f t="shared" si="16"/>
        <v>3</v>
      </c>
      <c r="HC3" s="49" t="str">
        <f t="shared" ref="HC3:HC13" si="67">IF(ROW(HA3)-ROW(HA$2)+1&gt;COUNT(HB$2:HB$13),"",INDEX(HA:HA,SMALL(HB$2:HB$13,1+ROW(HA3)-ROW(HA$2))))</f>
        <v>Unit 8 - Promotion and Sponsorship in Sport</v>
      </c>
      <c r="HE3" s="23" t="s">
        <v>628</v>
      </c>
      <c r="HF3" s="47">
        <f>IF(COUNTIF(Diploma!list1,HE3)&gt;=1,"",ROW())</f>
        <v>3</v>
      </c>
      <c r="HG3" s="49" t="str">
        <f>IF(ROW(HE3)-ROW(HE$2)+1&gt;COUNT(HF$2:HF$3),"",INDEX(HE:HE,SMALL(HF$2:HF$3,1+ROW(HE3)-ROW(HE$2))))</f>
        <v>Unit 24 - Work Experience in Sport</v>
      </c>
      <c r="HI3" s="97" t="s">
        <v>293</v>
      </c>
      <c r="HJ3" s="47">
        <f t="shared" si="17"/>
        <v>3</v>
      </c>
      <c r="HK3" s="49" t="str">
        <f t="shared" ref="HK3:HK8" si="68">IF(ROW(HI3)-ROW(HI$2)+1&gt;COUNT(HJ$2:HJ$8),"",INDEX(HI:HI,SMALL(HJ$2:HJ$8,1+ROW(HI3)-ROW(HI$2))))</f>
        <v>Unit 8 - Promotion and Sponsorship in Sport</v>
      </c>
      <c r="HM3" s="23" t="s">
        <v>294</v>
      </c>
      <c r="HN3" s="47">
        <f t="shared" si="18"/>
        <v>3</v>
      </c>
      <c r="HO3" s="49" t="str">
        <f t="shared" ref="HO3:HO10" si="69">IF(ROW(HM3)-ROW(HM$2)+1&gt;COUNT(HN$2:HN$10),"",INDEX(HM:HM,SMALL(HN$2:HN$10,1+ROW(HM3)-ROW(HM$2))))</f>
        <v>Unit 9 - Travel and Tourism Employment Opportunities</v>
      </c>
      <c r="HQ3" s="120" t="s">
        <v>553</v>
      </c>
      <c r="HR3" s="47">
        <f>IF(COUNTIF(Diploma!list1,HQ3)&gt;=1,"",ROW())</f>
        <v>3</v>
      </c>
      <c r="HS3" s="49" t="str">
        <f>IF(ROW(HQ3)-ROW(HQ$2)+1&gt;COUNT(HR$2:HR$10),"",INDEX(HQ:HQ,SMALL(HR$2:HR$10,1+ROW(HQ3)-ROW(HQ$2))))</f>
        <v>Unit 34 - PC Software and Hardware in Engineering</v>
      </c>
      <c r="HU3" s="55" t="s">
        <v>105</v>
      </c>
      <c r="HV3" s="47">
        <f t="shared" si="19"/>
        <v>3</v>
      </c>
      <c r="HW3" s="49" t="str">
        <f t="shared" ref="HW3:HW8" si="70">IF(ROW(HU3)-ROW(HU$2)+1&gt;COUNT(HV$2:HV$8),"",INDEX(HU:HU,SMALL(HV$2:HV$8,1+ROW(HU3)-ROW(HU$2))))</f>
        <v>Unit 6 - Computer-aided Engineering</v>
      </c>
      <c r="HY3" s="130" t="s">
        <v>556</v>
      </c>
      <c r="HZ3" s="47">
        <f>IF(COUNTIF(Diploma!list1,HY3)&gt;=1,"",ROW())</f>
        <v>3</v>
      </c>
      <c r="IA3" s="49" t="str">
        <f t="shared" ref="IA3:IA5" si="71">IF(ROW(HY3)-ROW(HY$2)+1&gt;COUNT(HZ$2:HZ$5),"",INDEX(HY:HY,SMALL(HZ$2:HZ$5,1+ROW(HY3)-ROW(HY$2))))</f>
        <v>Unit 25 - Operation and Maintenance of Electronic Systems and Components</v>
      </c>
      <c r="IC3" s="97" t="s">
        <v>304</v>
      </c>
      <c r="ID3" s="47">
        <f t="shared" si="20"/>
        <v>3</v>
      </c>
      <c r="IE3" s="49" t="str">
        <f t="shared" ref="IE3:IE8" si="72">IF(ROW(IC3)-ROW(IC$2)+1&gt;COUNT(ID$2:ID$8),"",INDEX(IC:IC,SMALL(ID$2:ID$8,1+ROW(IC3)-ROW(IC$2))))</f>
        <v>Unit 11 - Electrical and Mechanical Science for Engineering</v>
      </c>
      <c r="IG3" s="120" t="s">
        <v>541</v>
      </c>
      <c r="IH3" s="47">
        <f>IF(COUNTIF(Diploma!list1,IG3)&gt;=1,"",ROW())</f>
        <v>3</v>
      </c>
      <c r="II3" s="49" t="str">
        <f t="shared" ref="II3:II4" si="73">IF(ROW(IG3)-ROW(IG$2)+1&gt;COUNT(IH$2:IH$4),"",INDEX(IG:IG,SMALL(IH$2:IH$4,1+ROW(IG3)-ROW(IG$2))))</f>
        <v>Unit 22 - Continuous Improvement and Problem-Solving</v>
      </c>
      <c r="IK3" s="55" t="s">
        <v>105</v>
      </c>
      <c r="IL3" s="47">
        <f t="shared" si="21"/>
        <v>3</v>
      </c>
      <c r="IM3" s="49" t="str">
        <f t="shared" ref="IM3:IM13" si="74">IF(ROW(IK3)-ROW(IK$2)+1&gt;COUNT(IL$2:IL$13),"",INDEX(IK:IK,SMALL(IL$2:IL$13,1+ROW(IK3)-ROW(IK$2))))</f>
        <v>Unit 6 - Computer-aided Engineering</v>
      </c>
      <c r="IO3" s="120" t="s">
        <v>547</v>
      </c>
      <c r="IP3" s="47">
        <f>IF(COUNTIF(Diploma!list1,IO3)&gt;=1,"",ROW())</f>
        <v>3</v>
      </c>
      <c r="IQ3" s="49" t="str">
        <f t="shared" ref="IQ3:IQ4" si="75">IF(ROW(IO3)-ROW(IO$2)+1&gt;COUNT(IP$2:IP$4),"",INDEX(IO:IO,SMALL(IP$2:IP$4,1+ROW(IO3)-ROW(IO$2))))</f>
        <v>Unit 28 - Fabrication Techniques</v>
      </c>
      <c r="IS3" s="55" t="s">
        <v>105</v>
      </c>
      <c r="IT3" s="47">
        <f t="shared" si="22"/>
        <v>3</v>
      </c>
      <c r="IU3" s="49" t="str">
        <f t="shared" ref="IU3:IU12" si="76">IF(ROW(IS3)-ROW(IS$2)+1&gt;COUNT(IT$2:IT$12),"",INDEX(IS:IS,SMALL(IT$2:IT$12,1+ROW(IS3)-ROW(IS$2))))</f>
        <v>Unit 6 - Computer-aided Engineering</v>
      </c>
    </row>
    <row r="4" spans="1:255" ht="15" customHeight="1">
      <c r="A4" s="14" t="s">
        <v>270</v>
      </c>
      <c r="B4" s="47">
        <f>IF(COUNTIF(Diploma!list1,A4)&gt;=1,"",ROW())</f>
        <v>4</v>
      </c>
      <c r="C4" s="47" t="str">
        <f t="shared" si="23"/>
        <v>Unit 8 - Using Mobile Devices in Art and Design</v>
      </c>
      <c r="E4" s="33" t="s">
        <v>505</v>
      </c>
      <c r="F4" s="47">
        <f>IF(COUNTIF(Diploma!list1,E4)&gt;=1,"",ROW())</f>
        <v>4</v>
      </c>
      <c r="G4" s="49" t="str">
        <f t="shared" si="24"/>
        <v>Unit 21 - Effective Business Communication</v>
      </c>
      <c r="I4" s="23" t="s">
        <v>272</v>
      </c>
      <c r="J4" s="47">
        <f>IF(COUNTIF(Certificate!$G$17:$G$21,I4)&gt;=1,"",ROW())</f>
        <v>4</v>
      </c>
      <c r="K4" s="49" t="str">
        <f>IF(ROW(I4)-ROW(I$2)+1&gt;COUNT(J$2:J$5),"",INDEX(I:I,SMALL(J$2:J$5,1+ROW(I4)-ROW(I$2))))</f>
        <v>Unit 7 - Making Healthy Food Choices for Children</v>
      </c>
      <c r="L4" s="47"/>
      <c r="M4" s="47" t="str">
        <f>IF(OR(P20=1,P23=1,P29=1,P32=1),"","Unit 18 - Painting and Paperhanging Operations")</f>
        <v>Unit 18 - Painting and Paperhanging Operations</v>
      </c>
      <c r="N4" s="47">
        <f>IF(COUNTIF(Diploma!list1,M4)&gt;=1,"",ROW())</f>
        <v>4</v>
      </c>
      <c r="O4" s="49" t="str">
        <f t="shared" si="25"/>
        <v>Unit 18 - Painting and Paperhanging Operations</v>
      </c>
      <c r="P4" s="47"/>
      <c r="Q4" s="14" t="s">
        <v>22</v>
      </c>
      <c r="R4" s="47">
        <f>IF(COUNTIF(Diploma!list1,Q4)&gt;=1,"",ROW())</f>
        <v>4</v>
      </c>
      <c r="S4" s="49" t="str">
        <f t="shared" si="26"/>
        <v>Unit 5 - Digital Publishing Production</v>
      </c>
      <c r="T4" s="47"/>
      <c r="U4" s="23" t="s">
        <v>310</v>
      </c>
      <c r="V4" s="47">
        <f>IF(COUNTIF(Diploma!list1,U4)&gt;=1,"",ROW())</f>
        <v>4</v>
      </c>
      <c r="W4" s="49" t="str">
        <f t="shared" si="27"/>
        <v>Unit 12 - Engineering Design</v>
      </c>
      <c r="X4" s="47"/>
      <c r="Y4" t="str">
        <f>IF(Y16=1,"","Unit 16 - Vocational Experience in Health and Social Care")</f>
        <v>Unit 16 - Vocational Experience in Health and Social Care</v>
      </c>
      <c r="Z4" s="47">
        <f>IF(COUNTIF(Diploma!list1,Y4)&gt;=1,"",ROW())</f>
        <v>4</v>
      </c>
      <c r="AA4" s="49" t="str">
        <f t="shared" si="28"/>
        <v>Unit 16 - Vocational Experience in Health and Social Care</v>
      </c>
      <c r="AB4" s="47"/>
      <c r="AC4" s="23" t="str">
        <f>IF(OR(AF15=1,AF12=1),"","Unit 7 - Food and Beverage Service in the Hospitality Industry")</f>
        <v>Unit 7 - Food and Beverage Service in the Hospitality Industry</v>
      </c>
      <c r="AD4" s="47">
        <f>IF(COUNTIF(Diploma!list1,AC4)&gt;=1,"",ROW())</f>
        <v>4</v>
      </c>
      <c r="AE4" s="49" t="str">
        <f t="shared" si="29"/>
        <v>Unit 7 - Food and Beverage Service in the Hospitality Industry</v>
      </c>
      <c r="AF4" s="47"/>
      <c r="AG4" s="47"/>
      <c r="AH4" s="50"/>
      <c r="AI4" s="49"/>
      <c r="AJ4" s="47"/>
      <c r="AK4" s="23" t="s">
        <v>316</v>
      </c>
      <c r="AL4" s="47">
        <f>IF(COUNTIF(Diploma!list1,AK4)&gt;=1,"",ROW())</f>
        <v>4</v>
      </c>
      <c r="AM4" s="49" t="str">
        <f t="shared" si="30"/>
        <v>Unit 12 - Software Development</v>
      </c>
      <c r="AN4" s="47"/>
      <c r="AO4" s="14" t="s">
        <v>33</v>
      </c>
      <c r="AP4" s="47">
        <f>IF(COUNTIF(Diploma!list1,AO4)&gt;=1,"",ROW())</f>
        <v>4</v>
      </c>
      <c r="AQ4" s="49" t="str">
        <f t="shared" si="31"/>
        <v>Unit 5 - Introducing Music Performance</v>
      </c>
      <c r="AR4" s="47"/>
      <c r="AS4" s="14" t="s">
        <v>275</v>
      </c>
      <c r="AT4" s="50">
        <f>IF(COUNTIF(Diploma!list1,AS4)&gt;=1,"",ROW())</f>
        <v>4</v>
      </c>
      <c r="AU4" s="49" t="str">
        <f t="shared" si="32"/>
        <v>Unit 5 - Musical Theatre Skills</v>
      </c>
      <c r="AV4" s="47"/>
      <c r="AW4" s="23" t="s">
        <v>284</v>
      </c>
      <c r="AX4" s="50">
        <f t="shared" si="0"/>
        <v>4</v>
      </c>
      <c r="AY4" s="49" t="str">
        <f t="shared" si="33"/>
        <v>Unit 12 - Exploring Improvisation</v>
      </c>
      <c r="AZ4" s="47"/>
      <c r="BA4" s="14" t="s">
        <v>259</v>
      </c>
      <c r="BB4" s="50">
        <f>IF(COUNTIF(Certificate!$G$23:$G$25,BA4)&gt;=1,"",ROW())</f>
        <v>4</v>
      </c>
      <c r="BC4" s="49" t="str">
        <f t="shared" si="1"/>
        <v>Unit 11 - Devising Performance Work</v>
      </c>
      <c r="BD4" s="47"/>
      <c r="BE4" s="23" t="s">
        <v>291</v>
      </c>
      <c r="BF4" s="50">
        <f>IF(COUNTIF(Diploma!list1,BE4)&gt;=1,"",ROW())</f>
        <v>4</v>
      </c>
      <c r="BG4" s="49" t="str">
        <f t="shared" si="34"/>
        <v>Unit 13 - Multimedia Performance</v>
      </c>
      <c r="BH4" s="47"/>
      <c r="BI4" s="14" t="s">
        <v>276</v>
      </c>
      <c r="BJ4" s="50">
        <f t="shared" si="2"/>
        <v>4</v>
      </c>
      <c r="BK4" s="47" t="str">
        <f t="shared" si="35"/>
        <v>Unit 18 - Jazz Dance Techniques</v>
      </c>
      <c r="BL4" s="47"/>
      <c r="BM4" s="14" t="s">
        <v>285</v>
      </c>
      <c r="BN4" s="50">
        <f>IF(COUNTIF('Extended Certificate'!$G$39,BM4)&gt;=1,"",ROW())</f>
        <v>4</v>
      </c>
      <c r="BO4" s="47" t="str">
        <f t="shared" si="3"/>
        <v>Unit 21 - Realising Set Design for Performance</v>
      </c>
      <c r="BP4" s="47"/>
      <c r="BQ4" s="51"/>
      <c r="BR4" s="50"/>
      <c r="BS4" s="51"/>
      <c r="BT4" s="47"/>
      <c r="BU4" s="23" t="s">
        <v>284</v>
      </c>
      <c r="BV4" s="50">
        <f>IF(COUNTIF(Diploma!list1,BU4)&gt;=1,"",ROW())</f>
        <v>4</v>
      </c>
      <c r="BW4" s="49" t="str">
        <f t="shared" si="36"/>
        <v>Unit 12 - Exploring Improvisation</v>
      </c>
      <c r="BX4" s="47"/>
      <c r="BY4" s="14" t="s">
        <v>277</v>
      </c>
      <c r="BZ4" s="50">
        <f t="shared" si="4"/>
        <v>4</v>
      </c>
      <c r="CA4" s="49" t="str">
        <f t="shared" si="37"/>
        <v>Unit 20 - Realising Costume Design for Performance</v>
      </c>
      <c r="CB4" s="47"/>
      <c r="CC4" s="14" t="s">
        <v>285</v>
      </c>
      <c r="CD4" s="50">
        <f>IF(COUNTIF('Extended Certificate'!$G$39,CC4)&gt;=1,"",ROW())</f>
        <v>4</v>
      </c>
      <c r="CE4" s="47" t="str">
        <f t="shared" si="38"/>
        <v>Unit 21 - Realising Set Design for Performance</v>
      </c>
      <c r="CF4" s="47"/>
      <c r="CG4" s="14" t="s">
        <v>259</v>
      </c>
      <c r="CH4" s="50">
        <f>IF(COUNTIF('Extended Certificate'!$G$21:$G$29,CG4)&gt;=1,"",ROW())</f>
        <v>4</v>
      </c>
      <c r="CI4" s="49" t="str">
        <f>IF(ROW(CG4)-ROW(CG$2)+1&gt;COUNT(CH$2:CH$6),"",INDEX(BE:BE,SMALL(CH$2:CH$6,1+ROW(CG4)-ROW(CG$2))))</f>
        <v>Unit 13 - Multimedia Performance</v>
      </c>
      <c r="CJ4" s="47"/>
      <c r="CK4" s="14" t="s">
        <v>268</v>
      </c>
      <c r="CL4" s="50">
        <f>IF(COUNTIF(Certificate!$G$23:$G$25,CK4)&gt;=1,"",ROW())</f>
        <v>4</v>
      </c>
      <c r="CM4" s="47" t="str">
        <f t="shared" si="5"/>
        <v>Unit 17 - Exploring Urban Dance Styles</v>
      </c>
      <c r="CN4" s="47"/>
      <c r="CO4" s="55" t="s">
        <v>285</v>
      </c>
      <c r="CP4" s="50">
        <f>IF(COUNTIF(Diploma!list1,CO4)&gt;=1,"",ROW())</f>
        <v>4</v>
      </c>
      <c r="CQ4" s="49" t="str">
        <f t="shared" si="39"/>
        <v>Unit 21 - Realising Set Design for Performance</v>
      </c>
      <c r="CR4" s="47"/>
      <c r="CS4" s="55" t="s">
        <v>257</v>
      </c>
      <c r="CT4" s="50">
        <f>IF(COUNTIF(list2,CS4)&gt;=1,"",ROW())</f>
        <v>4</v>
      </c>
      <c r="CU4" s="49" t="str">
        <f t="shared" si="40"/>
        <v>Unit 14 - Voice and Speech for Performers</v>
      </c>
      <c r="CV4" s="47"/>
      <c r="CW4" s="23" t="s">
        <v>629</v>
      </c>
      <c r="CX4" s="50">
        <f>IF(COUNTIF(Diploma!list1,CW4)&gt;=1,"",ROW())</f>
        <v>4</v>
      </c>
      <c r="CY4" s="49" t="str">
        <f t="shared" si="41"/>
        <v>Unit 18 - Expedition Experience</v>
      </c>
      <c r="CZ4" s="47"/>
      <c r="DA4" s="23" t="s">
        <v>644</v>
      </c>
      <c r="DB4" s="47">
        <f>IF(COUNTIF(Diploma!list1,DA4)&gt;=1,"",ROW())</f>
        <v>4</v>
      </c>
      <c r="DC4" s="49" t="str">
        <f t="shared" si="42"/>
        <v>Unit 14 - Travel and Tourism Research Project</v>
      </c>
      <c r="DD4" s="47"/>
      <c r="DE4" s="47" t="s">
        <v>45</v>
      </c>
      <c r="DF4" s="47">
        <f>IF(COUNTIF('Extended Certificate'!$G$31:$G$37,DE4)&gt;=1,"",ROW())</f>
        <v>4</v>
      </c>
      <c r="DG4" s="49" t="str">
        <f t="shared" si="43"/>
        <v>Unit 11 - Animation for Digital Media</v>
      </c>
      <c r="DH4" s="47"/>
      <c r="DI4" s="120" t="s">
        <v>413</v>
      </c>
      <c r="DJ4" s="47">
        <f>IF(COUNTIF(Diploma!list1,DI4)&gt;=1,"",ROW())</f>
        <v>4</v>
      </c>
      <c r="DK4" s="49" t="str">
        <f t="shared" si="44"/>
        <v>Unit 18 - 3D Design Briefs</v>
      </c>
      <c r="DL4" s="47"/>
      <c r="DM4" s="47" t="s">
        <v>297</v>
      </c>
      <c r="DN4" s="47">
        <f>IF(COUNTIF(Diploma!list1,DM4)&gt;=1,"",ROW())</f>
        <v>4</v>
      </c>
      <c r="DO4" s="49" t="str">
        <f t="shared" si="45"/>
        <v>Unit 14 - Photography Briefs</v>
      </c>
      <c r="DP4" s="47"/>
      <c r="DQ4" s="47" t="s">
        <v>270</v>
      </c>
      <c r="DR4" s="47">
        <f>IF(COUNTIF(Diploma!list1,DQ4)&gt;=1,"",ROW())</f>
        <v>4</v>
      </c>
      <c r="DS4" s="49" t="str">
        <f t="shared" si="46"/>
        <v>Unit 8 - Using Mobile Devices in Art and Design</v>
      </c>
      <c r="DT4" s="47"/>
      <c r="DU4" s="47" t="s">
        <v>270</v>
      </c>
      <c r="DV4" s="47">
        <f>IF(COUNTIF(Diploma!list1,DU4)&gt;=1,"",ROW())</f>
        <v>4</v>
      </c>
      <c r="DW4" s="49" t="str">
        <f t="shared" si="47"/>
        <v>Unit 8 - Using Mobile Devices in Art and Design</v>
      </c>
      <c r="DX4" s="47"/>
      <c r="DY4" s="47" t="s">
        <v>443</v>
      </c>
      <c r="DZ4" s="47">
        <f>IF(COUNTIF(Diploma!list1,DY4)&gt;=1,"",ROW())</f>
        <v>4</v>
      </c>
      <c r="EA4" s="49" t="str">
        <f t="shared" si="48"/>
        <v>Unit 17 - Art, Craft and Design in the Creative Industries</v>
      </c>
      <c r="EB4" s="47"/>
      <c r="EC4" s="47" t="s">
        <v>279</v>
      </c>
      <c r="ED4" s="47">
        <f>IF(COUNTIF(Diploma!list1,EC4)&gt;=1,"",ROW())</f>
        <v>4</v>
      </c>
      <c r="EE4" s="49" t="str">
        <f t="shared" si="49"/>
        <v>Unit 10 - Fashion Briefs</v>
      </c>
      <c r="EF4" s="47"/>
      <c r="EG4" s="47"/>
      <c r="EH4" s="47"/>
      <c r="EI4" s="49"/>
      <c r="EJ4" s="47"/>
      <c r="EK4" s="23" t="str">
        <f>IF(OR(AF15=1,AF12=1),"","Unit 12 - Planning and Running a Hospitality Event")</f>
        <v>Unit 12 - Planning and Running a Hospitality Event</v>
      </c>
      <c r="EL4">
        <f t="shared" si="6"/>
        <v>4</v>
      </c>
      <c r="EM4" s="49" t="str">
        <f t="shared" si="50"/>
        <v>Unit 12 - Planning and Running a Hospitality Event</v>
      </c>
      <c r="EN4" s="47"/>
      <c r="EO4" s="47" t="s">
        <v>363</v>
      </c>
      <c r="EP4" s="47">
        <f t="shared" si="7"/>
        <v>4</v>
      </c>
      <c r="EQ4" s="49" t="str">
        <f t="shared" si="51"/>
        <v>Unit 13 - Developing Music Composition</v>
      </c>
      <c r="ES4" s="14" t="s">
        <v>398</v>
      </c>
      <c r="ET4" s="47">
        <f>IF(COUNTIF('Extended Certificate'!$G$21:$G$29,ES4)&gt;=1,"",ROW())</f>
        <v>4</v>
      </c>
      <c r="EU4" s="49" t="str">
        <f t="shared" si="52"/>
        <v xml:space="preserve">Unit 11 - How Scientific Theories are Formulated </v>
      </c>
      <c r="EW4" t="s">
        <v>173</v>
      </c>
      <c r="EX4" s="47">
        <f>IF(COUNTIF('Extended Certificate'!$G$21:$G$29,EW4)&gt;=1,"",ROW())</f>
        <v>4</v>
      </c>
      <c r="EY4" s="49" t="str">
        <f t="shared" si="53"/>
        <v>Unit 5 - Health, Fitness and Lifestyle for the Public Services</v>
      </c>
      <c r="FA4" s="14" t="s">
        <v>344</v>
      </c>
      <c r="FB4">
        <f t="shared" si="8"/>
        <v>4</v>
      </c>
      <c r="FC4" s="49" t="str">
        <f t="shared" si="54"/>
        <v>Unit 7 - Providing Business Support</v>
      </c>
      <c r="FE4" s="14" t="str">
        <f>IF(OR(P20=1,P26=1,P29=1,P32=1),"","Unit 7 - Exploring Brickwork and Blockwork Principles and Techniques")</f>
        <v>Unit 7 - Exploring Brickwork and Blockwork Principles and Techniques</v>
      </c>
      <c r="FF4">
        <f t="shared" si="9"/>
        <v>4</v>
      </c>
      <c r="FG4" s="123" t="str">
        <f t="shared" si="55"/>
        <v>Unit 7 - Exploring Brickwork and Blockwork Principles and Techniques</v>
      </c>
      <c r="FI4" t="s">
        <v>45</v>
      </c>
      <c r="FJ4">
        <f>IF(COUNTIF(list2,FI4)&gt;=1,"",ROW())</f>
        <v>4</v>
      </c>
      <c r="FK4" s="123" t="str">
        <f t="shared" si="56"/>
        <v>Unit 11 - Animation for Digital Media</v>
      </c>
      <c r="FM4" t="s">
        <v>48</v>
      </c>
      <c r="FN4">
        <f t="shared" si="10"/>
        <v>4</v>
      </c>
      <c r="FO4" s="123" t="str">
        <f t="shared" si="57"/>
        <v>Unit 14 - Writing for Digital Media</v>
      </c>
      <c r="FQ4" s="23" t="s">
        <v>304</v>
      </c>
      <c r="FR4">
        <f t="shared" si="11"/>
        <v>4</v>
      </c>
      <c r="FS4" s="123" t="str">
        <f t="shared" si="58"/>
        <v>Unit 11 - Electrical and Mechanical Science for Engineering</v>
      </c>
      <c r="FU4" s="14" t="s">
        <v>273</v>
      </c>
      <c r="FV4">
        <f t="shared" si="12"/>
        <v>4</v>
      </c>
      <c r="FW4" s="123" t="str">
        <f t="shared" si="59"/>
        <v>Unit 6 - The Impact of Nutrition on Health and Wellbeing</v>
      </c>
      <c r="FY4" s="23" t="s">
        <v>141</v>
      </c>
      <c r="FZ4">
        <f t="shared" si="13"/>
        <v>4</v>
      </c>
      <c r="GA4" s="123" t="str">
        <f t="shared" si="60"/>
        <v>Unit 6 - Creating Digital Graphics</v>
      </c>
      <c r="GC4" s="23" t="s">
        <v>141</v>
      </c>
      <c r="GD4" s="47">
        <f>IF(COUNTIF(Diploma!list1,GC4)&gt;=1,"",ROW())</f>
        <v>4</v>
      </c>
      <c r="GE4" s="49" t="str">
        <f t="shared" si="61"/>
        <v>Unit 6 - Creating Digital Graphics</v>
      </c>
      <c r="GG4" s="23" t="s">
        <v>141</v>
      </c>
      <c r="GH4" s="47">
        <f>IF(COUNTIF(Diploma!list1,GG4)&gt;=1,"",ROW())</f>
        <v>4</v>
      </c>
      <c r="GI4" s="49" t="str">
        <f t="shared" si="62"/>
        <v>Unit 6 - Creating Digital Graphics</v>
      </c>
      <c r="GK4" s="14" t="str">
        <f>IF(GK20=1,"","Unit 14 - Multi-day Expedition Experience")</f>
        <v>Unit 14 - Multi-day Expedition Experience</v>
      </c>
      <c r="GL4" s="47">
        <f>IF(COUNTIF(Diploma!list1,GK4)&gt;=1,"",ROW())</f>
        <v>4</v>
      </c>
      <c r="GM4" s="49" t="str">
        <f t="shared" si="63"/>
        <v>Unit 14 - Multi-day Expedition Experience</v>
      </c>
      <c r="GO4" s="14" t="s">
        <v>173</v>
      </c>
      <c r="GP4" s="47">
        <f t="shared" si="14"/>
        <v>4</v>
      </c>
      <c r="GQ4" s="49" t="str">
        <f t="shared" si="64"/>
        <v>Unit 5 - Health, Fitness and Lifestyle for the Public Services</v>
      </c>
      <c r="GS4" s="23" t="s">
        <v>301</v>
      </c>
      <c r="GT4" s="47">
        <f t="shared" si="15"/>
        <v>4</v>
      </c>
      <c r="GU4" s="49" t="str">
        <f t="shared" si="65"/>
        <v>Unit 9 - Lifestyle and Well-being</v>
      </c>
      <c r="GW4" s="23" t="s">
        <v>631</v>
      </c>
      <c r="GX4" s="47">
        <f>IF(COUNTIF(Diploma!list1,GW4)&gt;=1,"",ROW())</f>
        <v>4</v>
      </c>
      <c r="GY4" s="49" t="str">
        <f t="shared" si="66"/>
        <v>Unit 20 - Practical Water-based Outdoor and Adventurous Activities</v>
      </c>
      <c r="HA4" s="97" t="s">
        <v>301</v>
      </c>
      <c r="HB4" s="47">
        <f t="shared" si="16"/>
        <v>4</v>
      </c>
      <c r="HC4" s="49" t="str">
        <f t="shared" si="67"/>
        <v>Unit 9 - Lifestyle and Well-being</v>
      </c>
      <c r="HI4" s="97" t="s">
        <v>313</v>
      </c>
      <c r="HJ4" s="47">
        <f t="shared" si="17"/>
        <v>4</v>
      </c>
      <c r="HK4" s="49" t="str">
        <f t="shared" si="68"/>
        <v>Unit 11 - Running a Sports Event</v>
      </c>
      <c r="HM4" s="23" t="s">
        <v>302</v>
      </c>
      <c r="HN4" s="47">
        <f t="shared" si="18"/>
        <v>4</v>
      </c>
      <c r="HO4" s="49" t="str">
        <f t="shared" si="69"/>
        <v>Unit 10 - Organising a Travel and Tourism Study Visit</v>
      </c>
      <c r="HU4" s="55" t="s">
        <v>107</v>
      </c>
      <c r="HV4" s="47">
        <f t="shared" si="19"/>
        <v>4</v>
      </c>
      <c r="HW4" s="49" t="str">
        <f t="shared" si="70"/>
        <v>Unit 8 - Electronic Circuit Design and Construction</v>
      </c>
      <c r="HY4" s="130" t="s">
        <v>557</v>
      </c>
      <c r="HZ4" s="47">
        <f>IF(COUNTIF(Diploma!list1,HY4)&gt;=1,"",ROW())</f>
        <v>4</v>
      </c>
      <c r="IA4" s="49" t="str">
        <f t="shared" si="71"/>
        <v>Unit 26 - Operation and Maintenance of Electrical Systems and Components</v>
      </c>
      <c r="IC4" s="97" t="s">
        <v>315</v>
      </c>
      <c r="ID4" s="47">
        <f t="shared" si="20"/>
        <v>4</v>
      </c>
      <c r="IE4" s="49" t="str">
        <f t="shared" si="72"/>
        <v>Unit 13 - Engineering Assembly</v>
      </c>
      <c r="IG4" s="120" t="s">
        <v>542</v>
      </c>
      <c r="IH4" s="47">
        <f>IF(COUNTIF(Diploma!list1,IG4)&gt;=1,"",ROW())</f>
        <v>4</v>
      </c>
      <c r="II4" s="49" t="str">
        <f t="shared" si="73"/>
        <v>Unit 23 - Electronic Devices and Communication Applications</v>
      </c>
      <c r="IK4" s="55" t="s">
        <v>106</v>
      </c>
      <c r="IL4" s="47">
        <f t="shared" si="21"/>
        <v>4</v>
      </c>
      <c r="IM4" s="49" t="str">
        <f t="shared" si="74"/>
        <v>Unit 7 - Machining Techniques</v>
      </c>
      <c r="IO4" s="120" t="s">
        <v>548</v>
      </c>
      <c r="IP4" s="47">
        <f>IF(COUNTIF(Diploma!list1,IO4)&gt;=1,"",ROW())</f>
        <v>4</v>
      </c>
      <c r="IQ4" s="49" t="str">
        <f t="shared" si="75"/>
        <v>Unit 29 - Casting Techniques</v>
      </c>
      <c r="IS4" s="97" t="s">
        <v>304</v>
      </c>
      <c r="IT4" s="47">
        <f t="shared" si="22"/>
        <v>4</v>
      </c>
      <c r="IU4" s="49" t="str">
        <f t="shared" si="76"/>
        <v>Unit 11 - Electrical and Mechanical Science for Engineering</v>
      </c>
    </row>
    <row r="5" spans="1:255" ht="15" customHeight="1">
      <c r="A5" s="47" t="str">
        <f>IF(A48=1,"","Unit 9 - Design Crafts Briefs")</f>
        <v>Unit 9 - Design Crafts Briefs</v>
      </c>
      <c r="B5" s="47">
        <f>IF(COUNTIF(Diploma!list1,A5)&gt;=1,"",ROW())</f>
        <v>5</v>
      </c>
      <c r="C5" s="47" t="str">
        <f t="shared" si="23"/>
        <v>Unit 9 - Design Crafts Briefs</v>
      </c>
      <c r="E5" s="33" t="s">
        <v>506</v>
      </c>
      <c r="F5" s="47">
        <f>IF(COUNTIF(Diploma!list1,E5)&gt;=1,"",ROW())</f>
        <v>5</v>
      </c>
      <c r="G5" s="49" t="str">
        <f t="shared" si="24"/>
        <v>Unit 22 - Working in Business Teams</v>
      </c>
      <c r="I5" s="23" t="s">
        <v>281</v>
      </c>
      <c r="J5" s="47">
        <f>IF(COUNTIF(Certificate!$G$17:$G$21,I5)&gt;=1,"",ROW())</f>
        <v>5</v>
      </c>
      <c r="K5" s="49" t="str">
        <f>IF(ROW(I5)-ROW(I$2)+1&gt;COUNT(J$2:J$5),"",INDEX(I:I,SMALL(J$2:J$5,1+ROW(I5)-ROW(I$2))))</f>
        <v>Unit 8 - Introduction to Working in the Early Years Sector</v>
      </c>
      <c r="L5" s="47"/>
      <c r="M5" s="47" t="str">
        <f>IF(OR(P20=1,P23=1,P26=1,P29=1,P32=1),"","Unit 22 - Tendering and Estimating")</f>
        <v>Unit 22 - Tendering and Estimating</v>
      </c>
      <c r="N5" s="47">
        <f>IF(COUNTIF(Diploma!list1,M5)&gt;=1,"",ROW())</f>
        <v>5</v>
      </c>
      <c r="O5" s="49" t="str">
        <f t="shared" si="25"/>
        <v>Unit 22 - Tendering and Estimating</v>
      </c>
      <c r="P5" s="47"/>
      <c r="Q5" s="14" t="s">
        <v>282</v>
      </c>
      <c r="R5" s="47">
        <f>IF(COUNTIF(Diploma!list1,Q5)&gt;=1,"",ROW())</f>
        <v>5</v>
      </c>
      <c r="S5" s="49" t="str">
        <f t="shared" si="26"/>
        <v>Unit 6 - Website Production</v>
      </c>
      <c r="T5" s="47"/>
      <c r="U5" s="47" t="s">
        <v>427</v>
      </c>
      <c r="V5" s="47">
        <f>IF(COUNTIF(Diploma!list1,U5)&gt;=1,"",ROW())</f>
        <v>5</v>
      </c>
      <c r="W5" s="49" t="str">
        <f t="shared" si="27"/>
        <v>Unit 15 - Operating an Efficient Workplace</v>
      </c>
      <c r="X5" s="47"/>
      <c r="Y5" t="str">
        <f>IF(Y13=1,"","Unit 17 - Community Volunteering in Health and Social Care")</f>
        <v>Unit 17 - Community Volunteering in Health and Social Care</v>
      </c>
      <c r="Z5" s="47">
        <f>IF(COUNTIF(Diploma!list1,Y5)&gt;=1,"",ROW())</f>
        <v>5</v>
      </c>
      <c r="AA5" s="49" t="str">
        <f t="shared" si="28"/>
        <v>Unit 17 - Community Volunteering in Health and Social Care</v>
      </c>
      <c r="AB5" s="47"/>
      <c r="AC5" s="14" t="str">
        <f>IF(OR(AF15=1,AF12=1),"","Unit 8 - Front Office Services in the Hospitality Industry")</f>
        <v>Unit 8 - Front Office Services in the Hospitality Industry</v>
      </c>
      <c r="AD5" s="47">
        <f>IF(COUNTIF(Diploma!list1,AC5)&gt;=1,"",ROW())</f>
        <v>5</v>
      </c>
      <c r="AE5" s="49" t="str">
        <f t="shared" si="29"/>
        <v>Unit 8 - Front Office Services in the Hospitality Industry</v>
      </c>
      <c r="AF5" s="47"/>
      <c r="AG5" s="47"/>
      <c r="AH5" s="50"/>
      <c r="AI5" s="49"/>
      <c r="AJ5" s="47"/>
      <c r="AK5" s="23" t="s">
        <v>145</v>
      </c>
      <c r="AL5" s="47">
        <f>IF(COUNTIF(Diploma!list1,AK5)&gt;=1,"",ROW())</f>
        <v>5</v>
      </c>
      <c r="AM5" s="49" t="str">
        <f t="shared" si="30"/>
        <v>Unit 13 - Website Development</v>
      </c>
      <c r="AN5" s="47"/>
      <c r="AO5" s="14" t="s">
        <v>34</v>
      </c>
      <c r="AP5" s="47">
        <f>IF(COUNTIF(Diploma!list1,AO5)&gt;=1,"",ROW())</f>
        <v>5</v>
      </c>
      <c r="AQ5" s="49" t="str">
        <f t="shared" si="31"/>
        <v>Unit 6 - Introducing Music Recording</v>
      </c>
      <c r="AR5" s="47"/>
      <c r="AS5" s="14" t="s">
        <v>123</v>
      </c>
      <c r="AT5" s="50">
        <f>IF(COUNTIF(Diploma!list1,AS5)&gt;=1,"",ROW())</f>
        <v>5</v>
      </c>
      <c r="AU5" s="49" t="str">
        <f t="shared" si="32"/>
        <v>Unit 6 - Music Performance Skills</v>
      </c>
      <c r="AV5" s="47"/>
      <c r="AW5" s="23" t="s">
        <v>291</v>
      </c>
      <c r="AX5" s="50">
        <f t="shared" si="0"/>
        <v>5</v>
      </c>
      <c r="AY5" s="49" t="str">
        <f t="shared" si="33"/>
        <v>Unit 13 - Multimedia Performance</v>
      </c>
      <c r="AZ5" s="47"/>
      <c r="BA5" s="23" t="s">
        <v>284</v>
      </c>
      <c r="BB5" s="50">
        <f>IF(COUNTIF(Certificate!$G$23:$G$25,BA5)&gt;=1,"",ROW())</f>
        <v>5</v>
      </c>
      <c r="BC5" s="49" t="str">
        <f t="shared" si="1"/>
        <v>Unit 12 - Exploring Improvisation</v>
      </c>
      <c r="BD5" s="47"/>
      <c r="BE5" s="14" t="s">
        <v>257</v>
      </c>
      <c r="BF5" s="50">
        <f>IF(COUNTIF(Diploma!list1,BE5)&gt;=1,"",ROW())</f>
        <v>5</v>
      </c>
      <c r="BG5" s="49" t="str">
        <f t="shared" si="34"/>
        <v>Unit 14 - Voice and Speech for Performers</v>
      </c>
      <c r="BH5" s="47"/>
      <c r="BI5" s="14" t="s">
        <v>277</v>
      </c>
      <c r="BJ5" s="50">
        <f t="shared" si="2"/>
        <v>5</v>
      </c>
      <c r="BK5" s="47" t="str">
        <f t="shared" si="35"/>
        <v>Unit 20 - Realising Costume Design for Performance</v>
      </c>
      <c r="BM5" s="14" t="s">
        <v>292</v>
      </c>
      <c r="BN5" s="50">
        <f>IF(COUNTIF('Extended Certificate'!$G$39,BM5)&gt;=1,"",ROW())</f>
        <v>5</v>
      </c>
      <c r="BO5" s="47" t="str">
        <f t="shared" si="3"/>
        <v>Unit 22 - Realising Prop Design for Performance</v>
      </c>
      <c r="BP5" s="47"/>
      <c r="BQ5" s="51"/>
      <c r="BR5" s="50"/>
      <c r="BS5" s="51"/>
      <c r="BT5" s="47"/>
      <c r="BU5" s="97" t="s">
        <v>291</v>
      </c>
      <c r="BV5" s="50">
        <f>IF(COUNTIF(Diploma!list1,BU5)&gt;=1,"",ROW())</f>
        <v>5</v>
      </c>
      <c r="BW5" s="49" t="str">
        <f t="shared" si="36"/>
        <v>Unit 13 - Multimedia Performance</v>
      </c>
      <c r="BX5" s="47"/>
      <c r="BY5" s="14" t="s">
        <v>285</v>
      </c>
      <c r="BZ5" s="50">
        <f t="shared" si="4"/>
        <v>5</v>
      </c>
      <c r="CA5" s="49" t="str">
        <f t="shared" si="37"/>
        <v>Unit 21 - Realising Set Design for Performance</v>
      </c>
      <c r="CB5" s="47"/>
      <c r="CC5" s="14" t="s">
        <v>292</v>
      </c>
      <c r="CD5" s="50">
        <f>IF(COUNTIF('Extended Certificate'!$G$39,CC5)&gt;=1,"",ROW())</f>
        <v>5</v>
      </c>
      <c r="CE5" s="47" t="str">
        <f t="shared" si="38"/>
        <v>Unit 22 - Realising Prop Design for Performance</v>
      </c>
      <c r="CF5" s="47"/>
      <c r="CG5" s="14" t="s">
        <v>257</v>
      </c>
      <c r="CH5" s="50">
        <f>IF(COUNTIF('Extended Certificate'!$G$21:$G$29,CG5)&gt;=1,"",ROW())</f>
        <v>5</v>
      </c>
      <c r="CI5" s="49" t="str">
        <f>IF(ROW(CG5)-ROW(CG$2)+1&gt;COUNT(CH$2:CH$6),"",INDEX(BE:BE,SMALL(CH$2:CH$6,1+ROW(CG5)-ROW(CG$2))))</f>
        <v>Unit 14 - Voice and Speech for Performers</v>
      </c>
      <c r="CJ5" s="47"/>
      <c r="CK5" s="14" t="s">
        <v>276</v>
      </c>
      <c r="CL5" s="50">
        <f>IF(COUNTIF(Certificate!$G$23:$G$25,CK5)&gt;=1,"",ROW())</f>
        <v>5</v>
      </c>
      <c r="CM5" s="47" t="str">
        <f t="shared" si="5"/>
        <v>Unit 18 - Jazz Dance Techniques</v>
      </c>
      <c r="CN5" s="47"/>
      <c r="CO5" s="55" t="s">
        <v>292</v>
      </c>
      <c r="CP5" s="50">
        <f>IF(COUNTIF(Diploma!list1,CO5)&gt;=1,"",ROW())</f>
        <v>5</v>
      </c>
      <c r="CQ5" s="49" t="str">
        <f t="shared" si="39"/>
        <v>Unit 22 - Realising Prop Design for Performance</v>
      </c>
      <c r="CR5" s="47"/>
      <c r="CS5" s="55" t="s">
        <v>258</v>
      </c>
      <c r="CT5" s="50">
        <f>IF(COUNTIF(list2,CS5)&gt;=1,"",ROW())</f>
        <v>5</v>
      </c>
      <c r="CU5" s="49" t="str">
        <f t="shared" si="40"/>
        <v>Unit 15 - Performing Scripted Plays</v>
      </c>
      <c r="CV5" s="47"/>
      <c r="CW5" s="23" t="s">
        <v>630</v>
      </c>
      <c r="CX5" s="50">
        <f>IF(COUNTIF(Diploma!list1,CW5)&gt;=1,"",ROW())</f>
        <v>5</v>
      </c>
      <c r="CY5" s="49" t="str">
        <f t="shared" si="41"/>
        <v>Unit 19 - Practical Land-based Outdoor and Adventurous Activities</v>
      </c>
      <c r="CZ5" s="47"/>
      <c r="DA5" s="23" t="s">
        <v>645</v>
      </c>
      <c r="DB5" s="47">
        <f>IF(COUNTIF(Diploma!list1,DA5)&gt;=1,"",ROW())</f>
        <v>5</v>
      </c>
      <c r="DC5" s="49" t="str">
        <f t="shared" si="42"/>
        <v>Unit 15 - Work-related Experience in Travel and Tourism</v>
      </c>
      <c r="DD5" s="47"/>
      <c r="DE5" s="47" t="s">
        <v>287</v>
      </c>
      <c r="DF5" s="47">
        <f>IF(COUNTIF('Extended Certificate'!$G$31:$G$37,DE5)&gt;=1,"",ROW())</f>
        <v>5</v>
      </c>
      <c r="DG5" s="49" t="str">
        <f t="shared" si="43"/>
        <v>Unit 12 - Digital Audio Editing</v>
      </c>
      <c r="DH5" s="47"/>
      <c r="DI5" s="54" t="s">
        <v>416</v>
      </c>
      <c r="DJ5" s="47">
        <f>IF(COUNTIF(Diploma!list1,DI5)&gt;=1,"",ROW())</f>
        <v>5</v>
      </c>
      <c r="DK5" s="49" t="str">
        <f t="shared" si="44"/>
        <v>Unit 22 - Designing Products</v>
      </c>
      <c r="DL5" s="47"/>
      <c r="DM5" s="47" t="s">
        <v>295</v>
      </c>
      <c r="DN5" s="47">
        <f>IF(COUNTIF(Diploma!list1,DM5)&gt;=1,"",ROW())</f>
        <v>5</v>
      </c>
      <c r="DO5" s="49" t="str">
        <f t="shared" si="45"/>
        <v>Unit 15 - Designing for the Future</v>
      </c>
      <c r="DP5" s="47"/>
      <c r="DQ5" s="47" t="s">
        <v>443</v>
      </c>
      <c r="DR5" s="47">
        <f>IF(COUNTIF(Diploma!list1,DQ5)&gt;=1,"",ROW())</f>
        <v>5</v>
      </c>
      <c r="DS5" s="49" t="str">
        <f t="shared" si="46"/>
        <v>Unit 17 - Art, Craft and Design in the Creative Industries</v>
      </c>
      <c r="DT5" s="47"/>
      <c r="DU5" s="47" t="s">
        <v>279</v>
      </c>
      <c r="DV5" s="47">
        <f>IF(COUNTIF(Diploma!list1,DU5)&gt;=1,"",ROW())</f>
        <v>5</v>
      </c>
      <c r="DW5" s="49" t="str">
        <f t="shared" si="47"/>
        <v>Unit 10 - Fashion Briefs</v>
      </c>
      <c r="DX5" s="47"/>
      <c r="DY5" s="47" t="s">
        <v>414</v>
      </c>
      <c r="DZ5" s="47">
        <f>IF(COUNTIF(Diploma!list1,DY5)&gt;=1,"",ROW())</f>
        <v>5</v>
      </c>
      <c r="EA5" s="49" t="str">
        <f t="shared" si="48"/>
        <v>Unit 19 - Digital Art and Design Briefs</v>
      </c>
      <c r="EB5" s="47"/>
      <c r="EC5" s="47" t="s">
        <v>297</v>
      </c>
      <c r="ED5" s="47">
        <f>IF(COUNTIF(Diploma!list1,EC5)&gt;=1,"",ROW())</f>
        <v>5</v>
      </c>
      <c r="EE5" s="49" t="str">
        <f t="shared" si="49"/>
        <v>Unit 14 - Photography Briefs</v>
      </c>
      <c r="EF5" s="47"/>
      <c r="EG5" s="47"/>
      <c r="EH5" s="47"/>
      <c r="EI5" s="49"/>
      <c r="EJ5" s="47"/>
      <c r="EK5" s="23" t="str">
        <f>IF(OR(AF15=1,AF12=1),"","Unit 13 - Contemporary World Food Cooking Skills")</f>
        <v>Unit 13 - Contemporary World Food Cooking Skills</v>
      </c>
      <c r="EL5">
        <f t="shared" si="6"/>
        <v>5</v>
      </c>
      <c r="EM5" s="49" t="str">
        <f t="shared" si="50"/>
        <v>Unit 13 - Contemporary World Food Cooking Skills</v>
      </c>
      <c r="EN5" s="47"/>
      <c r="EO5" s="47" t="s">
        <v>364</v>
      </c>
      <c r="EP5" s="47">
        <f t="shared" si="7"/>
        <v>5</v>
      </c>
      <c r="EQ5" s="49" t="str">
        <f t="shared" si="51"/>
        <v>Unit 14 - Producing a Music Recording</v>
      </c>
      <c r="ES5" s="14" t="s">
        <v>399</v>
      </c>
      <c r="ET5" s="47">
        <f>IF(COUNTIF('Extended Certificate'!$G$21:$G$29,ES5)&gt;=1,"",ROW())</f>
        <v>5</v>
      </c>
      <c r="EU5" s="49" t="str">
        <f t="shared" si="52"/>
        <v>Unit 12 - The Living Body</v>
      </c>
      <c r="EW5" t="s">
        <v>461</v>
      </c>
      <c r="EX5" s="47">
        <f>IF(COUNTIF('Extended Certificate'!$G$21:$G$29,EW5)&gt;=1,"",ROW())</f>
        <v>5</v>
      </c>
      <c r="EY5" s="49" t="str">
        <f t="shared" si="53"/>
        <v>Unit 8 - Promotion of Public Service Provision</v>
      </c>
      <c r="FA5" s="14" t="str">
        <f>IF(G22=1,"","Unit 8 - Recruitment, Selection and Employment")</f>
        <v>Unit 8 - Recruitment, Selection and Employment</v>
      </c>
      <c r="FB5">
        <f t="shared" si="8"/>
        <v>5</v>
      </c>
      <c r="FC5" s="49" t="str">
        <f t="shared" si="54"/>
        <v>Unit 8 - Recruitment, Selection and Employment</v>
      </c>
      <c r="FE5" s="14" t="str">
        <f>IF(OR(P20=1,P23=1,P29=1,P32=1),"","Unit 8 - Exploring Painting and Decorating Principles and Techniques")</f>
        <v>Unit 8 - Exploring Painting and Decorating Principles and Techniques</v>
      </c>
      <c r="FF5">
        <f t="shared" si="9"/>
        <v>5</v>
      </c>
      <c r="FG5" s="123" t="str">
        <f t="shared" si="55"/>
        <v>Unit 8 - Exploring Painting and Decorating Principles and Techniques</v>
      </c>
      <c r="FI5" t="s">
        <v>531</v>
      </c>
      <c r="FJ5">
        <f>IF(COUNTIF(list2,FI5)&gt;=1,"",ROW())</f>
        <v>5</v>
      </c>
      <c r="FK5" s="123" t="str">
        <f t="shared" si="56"/>
        <v>Unit 19 - Advertising Production</v>
      </c>
      <c r="FM5" t="s">
        <v>360</v>
      </c>
      <c r="FN5">
        <f t="shared" si="10"/>
        <v>5</v>
      </c>
      <c r="FO5" s="123" t="str">
        <f t="shared" si="57"/>
        <v>Unit 15 - Digital Games Testing</v>
      </c>
      <c r="FQ5" s="23" t="s">
        <v>315</v>
      </c>
      <c r="FR5">
        <f t="shared" si="11"/>
        <v>5</v>
      </c>
      <c r="FS5" s="123" t="str">
        <f t="shared" si="58"/>
        <v>Unit 13 - Engineering Assembly</v>
      </c>
      <c r="FU5" s="23" t="s">
        <v>305</v>
      </c>
      <c r="FV5">
        <f t="shared" si="12"/>
        <v>5</v>
      </c>
      <c r="FW5" s="123" t="str">
        <f t="shared" si="59"/>
        <v>Unit 11 - Services in Health and Social Care</v>
      </c>
      <c r="FY5" s="23" t="s">
        <v>142</v>
      </c>
      <c r="FZ5">
        <f t="shared" si="13"/>
        <v>5</v>
      </c>
      <c r="GA5" s="123" t="str">
        <f t="shared" si="60"/>
        <v>Unit 7 - Creating Digital Video</v>
      </c>
      <c r="GC5" s="23" t="s">
        <v>142</v>
      </c>
      <c r="GD5" s="47">
        <f>IF(COUNTIF(Diploma!list1,GC5)&gt;=1,"",ROW())</f>
        <v>5</v>
      </c>
      <c r="GE5" s="49" t="str">
        <f t="shared" si="61"/>
        <v>Unit 7 - Creating Digital Video</v>
      </c>
      <c r="GG5" s="23" t="s">
        <v>142</v>
      </c>
      <c r="GH5" s="47">
        <f>IF(COUNTIF(Diploma!list1,GG5)&gt;=1,"",ROW())</f>
        <v>5</v>
      </c>
      <c r="GI5" s="49" t="str">
        <f t="shared" si="62"/>
        <v>Unit 7 - Creating Digital Video</v>
      </c>
      <c r="GK5" s="14" t="s">
        <v>470</v>
      </c>
      <c r="GL5" s="47">
        <f>IF(COUNTIF(Diploma!list1,GK5)&gt;=1,"",ROW())</f>
        <v>5</v>
      </c>
      <c r="GM5" s="49" t="str">
        <f t="shared" si="63"/>
        <v>Unit 17 - Preparing to Respond to Emergency Incidents</v>
      </c>
      <c r="GO5" s="14" t="s">
        <v>461</v>
      </c>
      <c r="GP5" s="47">
        <f t="shared" si="14"/>
        <v>5</v>
      </c>
      <c r="GQ5" s="49" t="str">
        <f t="shared" si="64"/>
        <v>Unit 8 - Promotion of Public Service Provision</v>
      </c>
      <c r="GS5" s="23" t="s">
        <v>308</v>
      </c>
      <c r="GT5" s="47">
        <f t="shared" si="15"/>
        <v>5</v>
      </c>
      <c r="GU5" s="49" t="str">
        <f t="shared" si="65"/>
        <v>Unit 10 - Injury and the Sports Performer</v>
      </c>
      <c r="GW5" s="23" t="s">
        <v>632</v>
      </c>
      <c r="GX5" s="47">
        <f>IF(COUNTIF(Diploma!list1,GW5)&gt;=1,"",ROW())</f>
        <v>5</v>
      </c>
      <c r="GY5" s="49" t="str">
        <f t="shared" si="66"/>
        <v>Unit 21 - Land-based Outdoor and Adventurous Activity Leadership</v>
      </c>
      <c r="HA5" s="97" t="s">
        <v>308</v>
      </c>
      <c r="HB5" s="47">
        <f t="shared" si="16"/>
        <v>5</v>
      </c>
      <c r="HC5" s="49" t="str">
        <f t="shared" si="67"/>
        <v>Unit 10 - Injury and the Sports Performer</v>
      </c>
      <c r="HI5" s="97" t="s">
        <v>318</v>
      </c>
      <c r="HJ5" s="47">
        <f t="shared" si="17"/>
        <v>5</v>
      </c>
      <c r="HK5" s="49" t="str">
        <f t="shared" si="68"/>
        <v>Unit 12 - The Sport and Active Leisure Industry</v>
      </c>
      <c r="HM5" s="93" t="s">
        <v>434</v>
      </c>
      <c r="HN5" s="47">
        <f t="shared" si="18"/>
        <v>5</v>
      </c>
      <c r="HO5" s="49" t="str">
        <f t="shared" si="69"/>
        <v>Unit 16 - Holiday Representatives</v>
      </c>
      <c r="HU5" s="97" t="s">
        <v>304</v>
      </c>
      <c r="HV5" s="47">
        <f t="shared" si="19"/>
        <v>5</v>
      </c>
      <c r="HW5" s="49" t="str">
        <f t="shared" si="70"/>
        <v>Unit 11 - Electrical and Mechanical Science for Engineering</v>
      </c>
      <c r="HY5" s="130" t="s">
        <v>558</v>
      </c>
      <c r="HZ5" s="47">
        <f>IF(COUNTIF(Diploma!list1,HY5)&gt;=1,"",ROW())</f>
        <v>5</v>
      </c>
      <c r="IA5" s="49" t="str">
        <f t="shared" si="71"/>
        <v>Unit 27 - Operation and Maintenance of Fluid Power Systems and Components</v>
      </c>
      <c r="IC5" s="97" t="s">
        <v>320</v>
      </c>
      <c r="ID5" s="47">
        <f t="shared" si="20"/>
        <v>5</v>
      </c>
      <c r="IE5" s="49" t="str">
        <f t="shared" si="72"/>
        <v>Unit 14 - Vehicle Engines and Other Systems</v>
      </c>
      <c r="IK5" s="97" t="s">
        <v>304</v>
      </c>
      <c r="IL5" s="47">
        <f t="shared" si="21"/>
        <v>5</v>
      </c>
      <c r="IM5" s="49" t="str">
        <f t="shared" si="74"/>
        <v>Unit 11 - Electrical and Mechanical Science for Engineering</v>
      </c>
      <c r="IS5" s="97" t="s">
        <v>310</v>
      </c>
      <c r="IT5" s="47">
        <f t="shared" si="22"/>
        <v>5</v>
      </c>
      <c r="IU5" s="49" t="str">
        <f t="shared" si="76"/>
        <v>Unit 12 - Engineering Design</v>
      </c>
    </row>
    <row r="6" spans="1:255">
      <c r="A6" s="47" t="s">
        <v>279</v>
      </c>
      <c r="B6" s="47">
        <f>IF(COUNTIF(Diploma!list1,A6)&gt;=1,"",ROW())</f>
        <v>6</v>
      </c>
      <c r="C6" s="47" t="str">
        <f t="shared" si="23"/>
        <v>Unit 10 - Fashion Briefs</v>
      </c>
      <c r="E6" s="33" t="s">
        <v>507</v>
      </c>
      <c r="F6" s="47">
        <f>IF(COUNTIF(Diploma!list1,E6)&gt;=1,"",ROW())</f>
        <v>6</v>
      </c>
      <c r="G6" s="49" t="str">
        <f t="shared" si="24"/>
        <v>Unit 23 - Planning, Forecasting and Recording Business Finances</v>
      </c>
      <c r="I6" s="47"/>
      <c r="J6" s="50"/>
      <c r="K6" s="49"/>
      <c r="L6" s="47"/>
      <c r="M6" s="47" t="str">
        <f>IF(OR(P20=1,P23=1,P26=1,P29=1,P32=1),"","Unit 23 - Exploring Surveying")</f>
        <v>Unit 23 - Exploring Surveying</v>
      </c>
      <c r="N6" s="47">
        <f>IF(COUNTIF(Diploma!list1,M6)&gt;=1,"",ROW())</f>
        <v>6</v>
      </c>
      <c r="O6" s="49" t="str">
        <f t="shared" si="25"/>
        <v>Unit 23 - Exploring Surveying</v>
      </c>
      <c r="P6" s="47"/>
      <c r="Q6" s="14" t="s">
        <v>24</v>
      </c>
      <c r="R6" s="47">
        <f>IF(COUNTIF(Diploma!list1,Q6)&gt;=1,"",ROW())</f>
        <v>6</v>
      </c>
      <c r="S6" s="49" t="str">
        <f t="shared" si="26"/>
        <v>Unit 7 - Digital Games Production</v>
      </c>
      <c r="T6" s="47"/>
      <c r="U6" s="47" t="s">
        <v>426</v>
      </c>
      <c r="V6" s="47">
        <f>IF(COUNTIF(Diploma!list1,U6)&gt;=1,"",ROW())</f>
        <v>6</v>
      </c>
      <c r="W6" s="49" t="str">
        <f t="shared" si="27"/>
        <v>Unit 18 - Computer Numerical Control Programming</v>
      </c>
      <c r="X6" s="47"/>
      <c r="Y6" t="s">
        <v>570</v>
      </c>
      <c r="Z6" s="47">
        <f>IF(COUNTIF(Diploma!list1,Y6)&gt;=1,"",ROW())</f>
        <v>6</v>
      </c>
      <c r="AA6" s="49" t="str">
        <f t="shared" si="28"/>
        <v>Unit 18 - Child Development and Observation</v>
      </c>
      <c r="AB6" s="47"/>
      <c r="AC6" s="14" t="str">
        <f>IF(OR(AF15=1,AF12=1),"","Unit 11 - Accommodation Services in the Hospitality Industry")</f>
        <v>Unit 11 - Accommodation Services in the Hospitality Industry</v>
      </c>
      <c r="AD6" s="47">
        <f>IF(COUNTIF(Diploma!list1,AC6)&gt;=1,"",ROW())</f>
        <v>6</v>
      </c>
      <c r="AE6" s="49" t="str">
        <f t="shared" si="29"/>
        <v>Unit 11 - Accommodation Services in the Hospitality Industry</v>
      </c>
      <c r="AF6" s="47"/>
      <c r="AG6" s="47"/>
      <c r="AH6" s="50"/>
      <c r="AI6" s="49"/>
      <c r="AJ6" s="47"/>
      <c r="AK6" s="23" t="s">
        <v>323</v>
      </c>
      <c r="AL6" s="47">
        <f>IF(COUNTIF(Diploma!list1,AK6)&gt;=1,"",ROW())</f>
        <v>6</v>
      </c>
      <c r="AM6" s="49" t="str">
        <f t="shared" si="30"/>
        <v>Unit 14 - Installing and Maintaining Computer Hardware</v>
      </c>
      <c r="AN6" s="47"/>
      <c r="AO6" s="14" t="s">
        <v>35</v>
      </c>
      <c r="AP6" s="47">
        <f>IF(COUNTIF(Diploma!list1,AO6)&gt;=1,"",ROW())</f>
        <v>6</v>
      </c>
      <c r="AQ6" s="49" t="str">
        <f t="shared" si="31"/>
        <v>Unit 7 - Introducing Music Sequencing</v>
      </c>
      <c r="AR6" s="47"/>
      <c r="AS6" s="14" t="s">
        <v>124</v>
      </c>
      <c r="AT6" s="50">
        <f>IF(COUNTIF(Diploma!list1,AS6)&gt;=1,"",ROW())</f>
        <v>6</v>
      </c>
      <c r="AU6" s="49" t="str">
        <f t="shared" si="32"/>
        <v>Unit 7 - Production Skills for Performance</v>
      </c>
      <c r="AV6" s="47"/>
      <c r="AW6" s="14" t="s">
        <v>257</v>
      </c>
      <c r="AX6" s="50">
        <f t="shared" si="0"/>
        <v>6</v>
      </c>
      <c r="AY6" s="49" t="str">
        <f t="shared" si="33"/>
        <v>Unit 14 - Voice and Speech for Performers</v>
      </c>
      <c r="AZ6" s="47"/>
      <c r="BA6" s="23" t="s">
        <v>291</v>
      </c>
      <c r="BB6" s="50">
        <f>IF(COUNTIF(Certificate!$G$23:$G$25,BA6)&gt;=1,"",ROW())</f>
        <v>6</v>
      </c>
      <c r="BC6" s="49" t="str">
        <f t="shared" si="1"/>
        <v>Unit 13 - Multimedia Performance</v>
      </c>
      <c r="BD6" s="47"/>
      <c r="BE6" s="14" t="s">
        <v>258</v>
      </c>
      <c r="BF6" s="50">
        <f>IF(COUNTIF(Diploma!list1,BE6)&gt;=1,"",ROW())</f>
        <v>6</v>
      </c>
      <c r="BG6" s="49" t="str">
        <f t="shared" si="34"/>
        <v>Unit 15 - Performing Scripted Plays</v>
      </c>
      <c r="BH6" s="47"/>
      <c r="BI6" s="14" t="s">
        <v>285</v>
      </c>
      <c r="BJ6" s="50">
        <f t="shared" si="2"/>
        <v>6</v>
      </c>
      <c r="BK6" s="47" t="str">
        <f t="shared" si="35"/>
        <v>Unit 21 - Realising Set Design for Performance</v>
      </c>
      <c r="BM6" s="14" t="s">
        <v>300</v>
      </c>
      <c r="BN6" s="50">
        <f>IF(COUNTIF('Extended Certificate'!$G$39,BM6)&gt;=1,"",ROW())</f>
        <v>6</v>
      </c>
      <c r="BO6" s="47" t="str">
        <f t="shared" si="3"/>
        <v>Unit 23 - Realising Mask Design for Performance</v>
      </c>
      <c r="BP6" s="47"/>
      <c r="BQ6" s="51"/>
      <c r="BR6" s="50"/>
      <c r="BS6" s="51"/>
      <c r="BT6" s="47"/>
      <c r="BU6" s="14" t="s">
        <v>255</v>
      </c>
      <c r="BV6" s="50">
        <f>IF(COUNTIF(Diploma!list1,BU6)&gt;=1,"",ROW())</f>
        <v>6</v>
      </c>
      <c r="BW6" s="49" t="str">
        <f t="shared" si="36"/>
        <v>Unit 16 - Contemporary Dance Techniques</v>
      </c>
      <c r="BX6" s="47"/>
      <c r="BY6" s="23" t="s">
        <v>317</v>
      </c>
      <c r="BZ6" s="50">
        <f t="shared" si="4"/>
        <v>6</v>
      </c>
      <c r="CA6" s="49" t="str">
        <f t="shared" si="37"/>
        <v>Unit 28 - Make-up for Performance</v>
      </c>
      <c r="CB6" s="47"/>
      <c r="CC6" s="14" t="s">
        <v>300</v>
      </c>
      <c r="CD6" s="50">
        <f>IF(COUNTIF('Extended Certificate'!$G$39,CC6)&gt;=1,"",ROW())</f>
        <v>6</v>
      </c>
      <c r="CE6" s="47" t="str">
        <f t="shared" si="38"/>
        <v>Unit 23 - Realising Mask Design for Performance</v>
      </c>
      <c r="CF6" s="47"/>
      <c r="CG6" s="14"/>
      <c r="CH6" s="50"/>
      <c r="CI6" s="49"/>
      <c r="CJ6" s="47"/>
      <c r="CK6" s="14" t="s">
        <v>269</v>
      </c>
      <c r="CL6" s="50">
        <f>IF(COUNTIF(Certificate!$G$23:$G$25,CK6)&gt;=1,"",ROW())</f>
        <v>6</v>
      </c>
      <c r="CM6" s="47" t="str">
        <f t="shared" si="5"/>
        <v>Unit 19 - Design Planning for Performance</v>
      </c>
      <c r="CN6" s="47"/>
      <c r="CO6" s="55" t="s">
        <v>300</v>
      </c>
      <c r="CP6" s="50">
        <f>IF(COUNTIF(Diploma!list1,CO6)&gt;=1,"",ROW())</f>
        <v>6</v>
      </c>
      <c r="CQ6" s="49" t="str">
        <f t="shared" si="39"/>
        <v>Unit 23 - Realising Mask Design for Performance</v>
      </c>
      <c r="CR6" s="47"/>
      <c r="CS6" s="14"/>
      <c r="CT6" s="50"/>
      <c r="CU6" s="47"/>
      <c r="CV6" s="47"/>
      <c r="CW6" s="23" t="s">
        <v>631</v>
      </c>
      <c r="CX6" s="50">
        <f>IF(COUNTIF(Diploma!list1,CW6)&gt;=1,"",ROW())</f>
        <v>6</v>
      </c>
      <c r="CY6" s="49" t="str">
        <f t="shared" si="41"/>
        <v>Unit 20 - Practical Water-based Outdoor and Adventurous Activities</v>
      </c>
      <c r="CZ6" s="47"/>
      <c r="DB6" s="47"/>
      <c r="DC6" s="49"/>
      <c r="DD6" s="47"/>
      <c r="DE6" s="47" t="s">
        <v>47</v>
      </c>
      <c r="DF6" s="47">
        <f>IF(COUNTIF('Extended Certificate'!$G$31:$G$37,DE6)&gt;=1,"",ROW())</f>
        <v>6</v>
      </c>
      <c r="DG6" s="49" t="str">
        <f t="shared" si="43"/>
        <v>Unit 13 - Graphic Design for Digital Media</v>
      </c>
      <c r="DH6" s="47"/>
      <c r="DI6" s="120" t="s">
        <v>486</v>
      </c>
      <c r="DJ6" s="47">
        <f>IF(COUNTIF(Diploma!list1,DI6)&gt;=1,"",ROW())</f>
        <v>6</v>
      </c>
      <c r="DK6" s="49" t="str">
        <f t="shared" si="44"/>
        <v>Unit 28 - Printmaking Briefs</v>
      </c>
      <c r="DL6" s="47"/>
      <c r="DM6" s="47" t="s">
        <v>443</v>
      </c>
      <c r="DN6" s="47">
        <f>IF(COUNTIF(Diploma!list1,DM6)&gt;=1,"",ROW())</f>
        <v>6</v>
      </c>
      <c r="DO6" s="49" t="str">
        <f t="shared" si="45"/>
        <v>Unit 17 - Art, Craft and Design in the Creative Industries</v>
      </c>
      <c r="DP6" s="47"/>
      <c r="DQ6" s="54" t="s">
        <v>414</v>
      </c>
      <c r="DR6" s="47">
        <f>IF(COUNTIF(Diploma!list1,DQ6)&gt;=1,"",ROW())</f>
        <v>6</v>
      </c>
      <c r="DS6" s="49" t="str">
        <f t="shared" si="46"/>
        <v>Unit 19 - Digital Art and Design Briefs</v>
      </c>
      <c r="DT6" s="47"/>
      <c r="DU6" s="47" t="str">
        <f>IF(DU21=1,"","Unit 11 - Graphic Design Briefs")</f>
        <v>Unit 11 - Graphic Design Briefs</v>
      </c>
      <c r="DV6" s="47">
        <f>IF(COUNTIF(Diploma!list1,DU6)&gt;=1,"",ROW())</f>
        <v>6</v>
      </c>
      <c r="DW6" s="49" t="str">
        <f t="shared" si="47"/>
        <v>Unit 11 - Graphic Design Briefs</v>
      </c>
      <c r="DX6" s="47"/>
      <c r="DY6" s="54" t="s">
        <v>415</v>
      </c>
      <c r="DZ6" s="47">
        <f>IF(COUNTIF(Diploma!list1,DY6)&gt;=1,"",ROW())</f>
        <v>6</v>
      </c>
      <c r="EA6" s="49" t="str">
        <f t="shared" si="48"/>
        <v>Unit 21 - Painting Briefs</v>
      </c>
      <c r="EB6" s="47"/>
      <c r="EC6" s="47" t="s">
        <v>295</v>
      </c>
      <c r="ED6" s="47">
        <f>IF(COUNTIF(Diploma!list1,EC6)&gt;=1,"",ROW())</f>
        <v>6</v>
      </c>
      <c r="EE6" s="49" t="str">
        <f t="shared" si="49"/>
        <v>Unit 15 - Designing for the Future</v>
      </c>
      <c r="EF6" s="47"/>
      <c r="EG6" s="47"/>
      <c r="EH6" s="47"/>
      <c r="EI6" s="47"/>
      <c r="EJ6" s="47"/>
      <c r="EK6" s="102" t="str">
        <f>IF(OR(AF15=1,AF12=1),"","Unit 15 - Menu Planning")</f>
        <v>Unit 15 - Menu Planning</v>
      </c>
      <c r="EL6">
        <f t="shared" si="6"/>
        <v>6</v>
      </c>
      <c r="EM6" s="49" t="str">
        <f t="shared" si="50"/>
        <v>Unit 15 - Menu Planning</v>
      </c>
      <c r="EN6" s="47"/>
      <c r="EO6" s="47" t="s">
        <v>365</v>
      </c>
      <c r="EP6" s="47">
        <f t="shared" si="7"/>
        <v>6</v>
      </c>
      <c r="EQ6" s="49" t="str">
        <f t="shared" si="51"/>
        <v>Unit 15 - Music Ensemble</v>
      </c>
      <c r="ES6" s="14" t="s">
        <v>400</v>
      </c>
      <c r="ET6" s="47">
        <f>IF(COUNTIF('Extended Certificate'!$G$21:$G$29,ES6)&gt;=1,"",ROW())</f>
        <v>6</v>
      </c>
      <c r="EU6" s="49" t="str">
        <f t="shared" si="52"/>
        <v xml:space="preserve">Unit 13 - Monitoring the Environment </v>
      </c>
      <c r="EW6" t="s">
        <v>462</v>
      </c>
      <c r="EX6" s="47">
        <f>IF(COUNTIF('Extended Certificate'!$G$21:$G$29,EW6)&gt;=1,"",ROW())</f>
        <v>6</v>
      </c>
      <c r="EY6" s="49" t="str">
        <f t="shared" si="53"/>
        <v>Unit 9 - Community and Cultural Awareness</v>
      </c>
      <c r="FA6" s="33" t="s">
        <v>349</v>
      </c>
      <c r="FB6">
        <f t="shared" si="8"/>
        <v>6</v>
      </c>
      <c r="FC6" s="49" t="str">
        <f t="shared" si="54"/>
        <v>Unit 12 - Introducing Law and Consumer Rights</v>
      </c>
      <c r="FE6" s="14" t="str">
        <f>IF(OR(P20=1,P23=1,P26=1,P32=1),"","Unit 9 - Exploring Plumbing Principles and Techniques")</f>
        <v>Unit 9 - Exploring Plumbing Principles and Techniques</v>
      </c>
      <c r="FF6">
        <f t="shared" si="9"/>
        <v>6</v>
      </c>
      <c r="FG6" s="123" t="str">
        <f t="shared" si="55"/>
        <v>Unit 9 - Exploring Plumbing Principles and Techniques</v>
      </c>
      <c r="FI6" t="s">
        <v>532</v>
      </c>
      <c r="FJ6">
        <f>IF(COUNTIF(list2,FI6)&gt;=1,"",ROW())</f>
        <v>6</v>
      </c>
      <c r="FK6" s="123" t="str">
        <f t="shared" si="56"/>
        <v>Unit 20 - Factual Media Production</v>
      </c>
      <c r="FM6" t="s">
        <v>536</v>
      </c>
      <c r="FN6">
        <f t="shared" si="10"/>
        <v>6</v>
      </c>
      <c r="FO6" s="123" t="str">
        <f t="shared" si="57"/>
        <v>Unit 16 - Digital Art for a Media Product</v>
      </c>
      <c r="FQ6" s="23" t="s">
        <v>320</v>
      </c>
      <c r="FR6">
        <f t="shared" si="11"/>
        <v>6</v>
      </c>
      <c r="FS6" s="123" t="str">
        <f t="shared" si="58"/>
        <v>Unit 14 - Vehicle Engines and Other Systems</v>
      </c>
      <c r="FU6" s="131" t="s">
        <v>567</v>
      </c>
      <c r="FV6">
        <f t="shared" si="12"/>
        <v>6</v>
      </c>
      <c r="FW6" s="123" t="str">
        <f t="shared" si="59"/>
        <v>Unit 22 - An Introduction to Basic First Aid</v>
      </c>
      <c r="FY6" s="23" t="s">
        <v>290</v>
      </c>
      <c r="FZ6">
        <f t="shared" si="13"/>
        <v>6</v>
      </c>
      <c r="GA6" s="123" t="str">
        <f t="shared" si="60"/>
        <v>Unit 8 - Mobile Apps Development</v>
      </c>
      <c r="GC6" s="23" t="s">
        <v>290</v>
      </c>
      <c r="GD6" s="47">
        <f>IF(COUNTIF(Diploma!list1,GC6)&gt;=1,"",ROW())</f>
        <v>6</v>
      </c>
      <c r="GE6" s="49" t="str">
        <f t="shared" si="61"/>
        <v>Unit 8 - Mobile Apps Development</v>
      </c>
      <c r="GG6" s="23" t="s">
        <v>290</v>
      </c>
      <c r="GH6" s="47">
        <f>IF(COUNTIF(Diploma!list1,GG6)&gt;=1,"",ROW())</f>
        <v>6</v>
      </c>
      <c r="GI6" s="49" t="str">
        <f t="shared" si="62"/>
        <v>Unit 8 - Mobile Apps Development</v>
      </c>
      <c r="GK6" s="14" t="s">
        <v>471</v>
      </c>
      <c r="GL6" s="47">
        <f>IF(COUNTIF(Diploma!list1,GK6)&gt;=1,"",ROW())</f>
        <v>6</v>
      </c>
      <c r="GM6" s="49" t="str">
        <f t="shared" si="63"/>
        <v>Unit 18 - Security Procedures in the Public Services</v>
      </c>
      <c r="GO6" s="14" t="s">
        <v>462</v>
      </c>
      <c r="GP6" s="47">
        <f t="shared" si="14"/>
        <v>6</v>
      </c>
      <c r="GQ6" s="49" t="str">
        <f t="shared" si="64"/>
        <v>Unit 9 - Community and Cultural Awareness</v>
      </c>
      <c r="GS6" s="23" t="s">
        <v>313</v>
      </c>
      <c r="GT6" s="47">
        <f t="shared" si="15"/>
        <v>6</v>
      </c>
      <c r="GU6" s="49" t="str">
        <f t="shared" si="65"/>
        <v>Unit 11 - Running a Sports Event</v>
      </c>
      <c r="GW6" s="23" t="s">
        <v>633</v>
      </c>
      <c r="GX6" s="47">
        <f>IF(COUNTIF(Diploma!list1,GW6)&gt;=1,"",ROW())</f>
        <v>6</v>
      </c>
      <c r="GY6" s="49" t="str">
        <f t="shared" si="66"/>
        <v>Unit 22 - Water-based Outdoor and Adventurous Activity Leadership</v>
      </c>
      <c r="HA6" s="97" t="s">
        <v>313</v>
      </c>
      <c r="HB6" s="47">
        <f t="shared" si="16"/>
        <v>6</v>
      </c>
      <c r="HC6" s="49" t="str">
        <f t="shared" si="67"/>
        <v>Unit 11 - Running a Sports Event</v>
      </c>
      <c r="HI6" s="23" t="s">
        <v>442</v>
      </c>
      <c r="HJ6" s="47">
        <f t="shared" si="17"/>
        <v>6</v>
      </c>
      <c r="HK6" s="49" t="str">
        <f t="shared" si="68"/>
        <v>Unit 13 - Profiling Sports Performance</v>
      </c>
      <c r="HM6" s="47" t="s">
        <v>435</v>
      </c>
      <c r="HN6" s="47">
        <f t="shared" si="18"/>
        <v>6</v>
      </c>
      <c r="HO6" s="49" t="str">
        <f t="shared" si="69"/>
        <v>Unit 17 - UK Travel Agency Operations</v>
      </c>
      <c r="HU6" s="97" t="s">
        <v>310</v>
      </c>
      <c r="HV6" s="47">
        <f t="shared" si="19"/>
        <v>6</v>
      </c>
      <c r="HW6" s="49" t="str">
        <f t="shared" si="70"/>
        <v>Unit 12 - Engineering Design</v>
      </c>
      <c r="IC6" s="54" t="s">
        <v>429</v>
      </c>
      <c r="ID6" s="47">
        <f t="shared" si="20"/>
        <v>6</v>
      </c>
      <c r="IE6" s="49" t="str">
        <f t="shared" si="72"/>
        <v>Unit 19 - Bicycle Servicing and Maintenance</v>
      </c>
      <c r="IK6" s="97" t="s">
        <v>310</v>
      </c>
      <c r="IL6" s="47">
        <f t="shared" si="21"/>
        <v>6</v>
      </c>
      <c r="IM6" s="49" t="str">
        <f t="shared" si="74"/>
        <v>Unit 12 - Engineering Design</v>
      </c>
      <c r="IS6" s="97" t="s">
        <v>315</v>
      </c>
      <c r="IT6" s="47">
        <f t="shared" si="22"/>
        <v>6</v>
      </c>
      <c r="IU6" s="49" t="str">
        <f t="shared" si="76"/>
        <v>Unit 13 - Engineering Assembly</v>
      </c>
    </row>
    <row r="7" spans="1:255">
      <c r="A7" s="47" t="str">
        <f>IF(A39=1,"","Unit 11 - Graphic Design Briefs")</f>
        <v>Unit 11 - Graphic Design Briefs</v>
      </c>
      <c r="B7" s="47">
        <f>IF(COUNTIF(Diploma!list1,A7)&gt;=1,"",ROW())</f>
        <v>7</v>
      </c>
      <c r="C7" s="47" t="str">
        <f t="shared" si="23"/>
        <v>Unit 11 - Graphic Design Briefs</v>
      </c>
      <c r="E7" s="33" t="str">
        <f>IF(G19=1,"","Unit 24 - Work Experience in Business")</f>
        <v>Unit 24 - Work Experience in Business</v>
      </c>
      <c r="F7" s="47">
        <f>IF(COUNTIF(Diploma!list1,E7)&gt;=1,"",ROW())</f>
        <v>7</v>
      </c>
      <c r="G7" s="49" t="str">
        <f t="shared" si="24"/>
        <v>Unit 24 - Work Experience in Business</v>
      </c>
      <c r="I7" s="47"/>
      <c r="J7" s="50"/>
      <c r="K7" s="49"/>
      <c r="L7" s="47"/>
      <c r="M7" s="47" t="str">
        <f>IF(OR(P20=1,P23=1,P26=1,P29=1,P32=1),"","Unit 24 - Exploring Civil Engineering")</f>
        <v>Unit 24 - Exploring Civil Engineering</v>
      </c>
      <c r="N7" s="47">
        <f>IF(COUNTIF(Diploma!list1,M7)&gt;=1,"",ROW())</f>
        <v>7</v>
      </c>
      <c r="O7" s="49" t="str">
        <f t="shared" si="25"/>
        <v>Unit 24 - Exploring Civil Engineering</v>
      </c>
      <c r="P7" s="47"/>
      <c r="Q7" s="47"/>
      <c r="R7" s="50"/>
      <c r="S7" s="49"/>
      <c r="T7" s="47"/>
      <c r="V7" s="47"/>
      <c r="W7" s="49"/>
      <c r="X7" s="47"/>
      <c r="Y7" t="s">
        <v>571</v>
      </c>
      <c r="Z7" s="47">
        <f>IF(COUNTIF(Diploma!list1,Y7)&gt;=1,"",ROW())</f>
        <v>7</v>
      </c>
      <c r="AA7" s="49" t="str">
        <f t="shared" si="28"/>
        <v>Unit 19 - Skills and Qualities for Working in the Health and Social Care Sector</v>
      </c>
      <c r="AB7" s="47"/>
      <c r="AC7" s="14"/>
      <c r="AD7" s="47"/>
      <c r="AE7" s="49"/>
      <c r="AF7" s="47"/>
      <c r="AG7" s="47"/>
      <c r="AH7" s="50"/>
      <c r="AI7" s="49"/>
      <c r="AJ7" s="47"/>
      <c r="AK7" s="23" t="s">
        <v>324</v>
      </c>
      <c r="AL7" s="47">
        <f>IF(COUNTIF(Diploma!list1,AK7)&gt;=1,"",ROW())</f>
        <v>7</v>
      </c>
      <c r="AM7" s="49" t="str">
        <f t="shared" si="30"/>
        <v>Unit 15 - Installing and Maintaining Computer Software</v>
      </c>
      <c r="AN7" s="47"/>
      <c r="AO7" s="14" t="s">
        <v>36</v>
      </c>
      <c r="AP7" s="47">
        <f>IF(COUNTIF(Diploma!list1,AO7)&gt;=1,"",ROW())</f>
        <v>7</v>
      </c>
      <c r="AQ7" s="49" t="str">
        <f t="shared" si="31"/>
        <v>Unit 9 - Introducing Choral Studies</v>
      </c>
      <c r="AR7" s="47"/>
      <c r="AS7" s="47"/>
      <c r="AT7" s="47"/>
      <c r="AU7" s="48" t="str">
        <f t="shared" si="32"/>
        <v/>
      </c>
      <c r="AV7" s="47"/>
      <c r="AW7" s="14" t="s">
        <v>258</v>
      </c>
      <c r="AX7" s="50">
        <f t="shared" si="0"/>
        <v>7</v>
      </c>
      <c r="AY7" s="49" t="str">
        <f t="shared" si="33"/>
        <v>Unit 15 - Performing Scripted Plays</v>
      </c>
      <c r="AZ7" s="47"/>
      <c r="BA7" s="14" t="s">
        <v>257</v>
      </c>
      <c r="BB7" s="50">
        <f>IF(COUNTIF(Certificate!$G$23:$G$25,BA7)&gt;=1,"",ROW())</f>
        <v>7</v>
      </c>
      <c r="BC7" s="49" t="str">
        <f t="shared" si="1"/>
        <v>Unit 14 - Voice and Speech for Performers</v>
      </c>
      <c r="BD7" s="47"/>
      <c r="BE7" s="33" t="s">
        <v>612</v>
      </c>
      <c r="BF7" s="50">
        <f>IF(COUNTIF(Diploma!list1,BE7)&gt;=1,"",ROW())</f>
        <v>7</v>
      </c>
      <c r="BG7" s="49" t="str">
        <f t="shared" si="34"/>
        <v>Unit 32 - Directing Performance</v>
      </c>
      <c r="BH7" s="47"/>
      <c r="BI7" s="14" t="s">
        <v>300</v>
      </c>
      <c r="BJ7" s="50">
        <f t="shared" si="2"/>
        <v>7</v>
      </c>
      <c r="BK7" s="47" t="str">
        <f t="shared" si="35"/>
        <v>Unit 23 - Realising Mask Design for Performance</v>
      </c>
      <c r="BM7" s="14" t="s">
        <v>307</v>
      </c>
      <c r="BN7" s="50">
        <f>IF(COUNTIF('Extended Certificate'!$G$39,BM7)&gt;=1,"",ROW())</f>
        <v>7</v>
      </c>
      <c r="BO7" s="47" t="str">
        <f t="shared" si="3"/>
        <v>Unit 24 - Lighting for Performance</v>
      </c>
      <c r="BP7" s="47"/>
      <c r="BQ7" s="14"/>
      <c r="BR7" s="50"/>
      <c r="BS7" s="49"/>
      <c r="BT7" s="47"/>
      <c r="BU7" s="14" t="s">
        <v>268</v>
      </c>
      <c r="BV7" s="50">
        <f>IF(COUNTIF(Diploma!list1,BU7)&gt;=1,"",ROW())</f>
        <v>7</v>
      </c>
      <c r="BW7" s="49" t="str">
        <f t="shared" si="36"/>
        <v>Unit 17 - Exploring Urban Dance Styles</v>
      </c>
      <c r="BX7" s="47"/>
      <c r="BY7" s="33" t="s">
        <v>617</v>
      </c>
      <c r="BZ7" s="50">
        <f t="shared" si="4"/>
        <v>7</v>
      </c>
      <c r="CA7" s="49" t="str">
        <f t="shared" si="37"/>
        <v>Unit 38 - Use of ICT in the Performing Arts</v>
      </c>
      <c r="CB7" s="47"/>
      <c r="CC7" s="14" t="s">
        <v>307</v>
      </c>
      <c r="CD7" s="50">
        <f>IF(COUNTIF('Extended Certificate'!$G$39,CC7)&gt;=1,"",ROW())</f>
        <v>7</v>
      </c>
      <c r="CE7" s="47" t="str">
        <f t="shared" si="38"/>
        <v>Unit 24 - Lighting for Performance</v>
      </c>
      <c r="CF7" s="47"/>
      <c r="CG7" s="47"/>
      <c r="CH7" s="47"/>
      <c r="CI7" s="47"/>
      <c r="CJ7" s="47"/>
      <c r="CK7" s="14" t="s">
        <v>277</v>
      </c>
      <c r="CL7" s="50">
        <f>IF(COUNTIF(Certificate!$G$23:$G$25,CK7)&gt;=1,"",ROW())</f>
        <v>7</v>
      </c>
      <c r="CM7" s="47" t="str">
        <f t="shared" si="5"/>
        <v>Unit 20 - Realising Costume Design for Performance</v>
      </c>
      <c r="CN7" s="47"/>
      <c r="CO7" s="55" t="s">
        <v>307</v>
      </c>
      <c r="CP7" s="50">
        <f>IF(COUNTIF(Diploma!list1,CO7)&gt;=1,"",ROW())</f>
        <v>7</v>
      </c>
      <c r="CQ7" s="49" t="str">
        <f t="shared" si="39"/>
        <v>Unit 24 - Lighting for Performance</v>
      </c>
      <c r="CR7" s="47"/>
      <c r="CS7" s="14"/>
      <c r="CT7" s="50"/>
      <c r="CU7" s="47"/>
      <c r="CV7" s="47"/>
      <c r="CW7" s="23" t="s">
        <v>632</v>
      </c>
      <c r="CX7" s="50">
        <f>IF(COUNTIF(Diploma!list1,CW7)&gt;=1,"",ROW())</f>
        <v>7</v>
      </c>
      <c r="CY7" s="49" t="str">
        <f t="shared" si="41"/>
        <v>Unit 21 - Land-based Outdoor and Adventurous Activity Leadership</v>
      </c>
      <c r="CZ7" s="47"/>
      <c r="DB7" s="47"/>
      <c r="DC7" s="49"/>
      <c r="DD7" s="47"/>
      <c r="DE7" s="47" t="s">
        <v>48</v>
      </c>
      <c r="DF7" s="47">
        <f>IF(COUNTIF('Extended Certificate'!$G$31:$G$37,DE7)&gt;=1,"",ROW())</f>
        <v>7</v>
      </c>
      <c r="DG7" s="49" t="str">
        <f t="shared" si="43"/>
        <v>Unit 14 - Writing for Digital Media</v>
      </c>
      <c r="DH7" s="47"/>
      <c r="DI7" s="120" t="s">
        <v>487</v>
      </c>
      <c r="DJ7" s="47">
        <f>IF(COUNTIF(Diploma!list1,DI7)&gt;=1,"",ROW())</f>
        <v>7</v>
      </c>
      <c r="DK7" s="49" t="str">
        <f t="shared" si="44"/>
        <v>Unit 29 - Drawing from Observation</v>
      </c>
      <c r="DL7" s="47"/>
      <c r="DM7" s="47" t="s">
        <v>416</v>
      </c>
      <c r="DN7" s="47">
        <f>IF(COUNTIF(Diploma!list1,DM7)&gt;=1,"",ROW())</f>
        <v>7</v>
      </c>
      <c r="DO7" s="49" t="str">
        <f t="shared" si="45"/>
        <v>Unit 22 - Designing Products</v>
      </c>
      <c r="DP7" s="47"/>
      <c r="DQ7" s="120" t="s">
        <v>484</v>
      </c>
      <c r="DR7" s="47">
        <f>IF(COUNTIF(Diploma!list1,DQ7)&gt;=1,"",ROW())</f>
        <v>7</v>
      </c>
      <c r="DS7" s="49" t="str">
        <f t="shared" si="46"/>
        <v>Unit 26 - Moving Image Briefs</v>
      </c>
      <c r="DT7" s="47"/>
      <c r="DU7" s="47" t="s">
        <v>288</v>
      </c>
      <c r="DV7" s="47">
        <f>IF(COUNTIF(Diploma!list1,DU7)&gt;=1,"",ROW())</f>
        <v>7</v>
      </c>
      <c r="DW7" s="49" t="str">
        <f t="shared" si="47"/>
        <v>Unit 12 - Textiles Briefs</v>
      </c>
      <c r="DX7" s="47"/>
      <c r="DY7" s="120" t="s">
        <v>484</v>
      </c>
      <c r="DZ7" s="47">
        <f>IF(COUNTIF(Diploma!list1,DY7)&gt;=1,"",ROW())</f>
        <v>7</v>
      </c>
      <c r="EA7" s="49" t="str">
        <f t="shared" si="48"/>
        <v>Unit 26 - Moving Image Briefs</v>
      </c>
      <c r="EB7" s="47"/>
      <c r="EC7" s="47" t="s">
        <v>443</v>
      </c>
      <c r="ED7" s="47">
        <f>IF(COUNTIF(Diploma!list1,EC7)&gt;=1,"",ROW())</f>
        <v>7</v>
      </c>
      <c r="EE7" s="49" t="str">
        <f t="shared" si="49"/>
        <v>Unit 17 - Art, Craft and Design in the Creative Industries</v>
      </c>
      <c r="EF7" s="47"/>
      <c r="EG7" s="47"/>
      <c r="EH7" s="47"/>
      <c r="EI7" s="47"/>
      <c r="EJ7" s="47"/>
      <c r="EK7" s="102" t="str">
        <f>IF(OR(AF15=1,AF12=1),"","Unit 16 - Managing Finance in Hospitality")</f>
        <v>Unit 16 - Managing Finance in Hospitality</v>
      </c>
      <c r="EL7">
        <f t="shared" si="6"/>
        <v>7</v>
      </c>
      <c r="EM7" s="49" t="str">
        <f t="shared" si="50"/>
        <v>Unit 16 - Managing Finance in Hospitality</v>
      </c>
      <c r="EN7" s="47"/>
      <c r="EO7" s="47" t="s">
        <v>452</v>
      </c>
      <c r="EP7" s="47">
        <f t="shared" si="7"/>
        <v>7</v>
      </c>
      <c r="EQ7" s="49" t="str">
        <f t="shared" si="51"/>
        <v>Unit 18 - Developing Modern Music Production Skills</v>
      </c>
      <c r="ES7" s="14" t="s">
        <v>401</v>
      </c>
      <c r="ET7" s="47">
        <f>IF(COUNTIF('Extended Certificate'!$G$21:$G$29,ES7)&gt;=1,"",ROW())</f>
        <v>7</v>
      </c>
      <c r="EU7" s="49" t="str">
        <f t="shared" si="52"/>
        <v xml:space="preserve">Unit 14 - Growing Plants for Food </v>
      </c>
      <c r="EW7" t="s">
        <v>463</v>
      </c>
      <c r="EX7" s="47">
        <f>IF(COUNTIF('Extended Certificate'!$G$21:$G$29,EW7)&gt;=1,"",ROW())</f>
        <v>7</v>
      </c>
      <c r="EY7" s="49" t="str">
        <f t="shared" si="53"/>
        <v>Unit 10 - Adventurous Activities in the Public Services</v>
      </c>
      <c r="FA7" s="33" t="s">
        <v>352</v>
      </c>
      <c r="FB7">
        <f t="shared" si="8"/>
        <v>7</v>
      </c>
      <c r="FC7" s="49" t="str">
        <f t="shared" si="54"/>
        <v>Unit 15 - Public Sector Business</v>
      </c>
      <c r="FE7" s="14" t="str">
        <f>IF(OR(P20=1,P23=1,P26=1,P29=1),"","Unit 10 - Exploring Electrical Principles and Techniques")</f>
        <v>Unit 10 - Exploring Electrical Principles and Techniques</v>
      </c>
      <c r="FF7">
        <f t="shared" si="9"/>
        <v>7</v>
      </c>
      <c r="FG7" s="123" t="str">
        <f t="shared" si="55"/>
        <v>Unit 10 - Exploring Electrical Principles and Techniques</v>
      </c>
      <c r="FM7" t="s">
        <v>537</v>
      </c>
      <c r="FN7">
        <f t="shared" si="10"/>
        <v>7</v>
      </c>
      <c r="FO7" s="123" t="str">
        <f t="shared" si="57"/>
        <v>Unit 17 - Digital Audio Mixing</v>
      </c>
      <c r="FQ7" s="47" t="s">
        <v>425</v>
      </c>
      <c r="FR7">
        <f t="shared" si="11"/>
        <v>7</v>
      </c>
      <c r="FS7" s="123" t="str">
        <f t="shared" si="58"/>
        <v>Unit 16 - Vehicle Electrical Systems</v>
      </c>
      <c r="FU7" s="131" t="s">
        <v>566</v>
      </c>
      <c r="FV7">
        <f t="shared" si="12"/>
        <v>7</v>
      </c>
      <c r="FW7" s="123" t="str">
        <f t="shared" si="59"/>
        <v>Unit 23 - Food Safety in Health and Social Care</v>
      </c>
      <c r="FY7" s="23" t="s">
        <v>143</v>
      </c>
      <c r="FZ7">
        <f t="shared" si="13"/>
        <v>7</v>
      </c>
      <c r="GA7" s="123" t="str">
        <f t="shared" si="60"/>
        <v>Unit 9 - Spreadsheet Development</v>
      </c>
      <c r="GC7" s="23" t="s">
        <v>143</v>
      </c>
      <c r="GD7" s="47">
        <f>IF(COUNTIF(Diploma!list1,GC7)&gt;=1,"",ROW())</f>
        <v>7</v>
      </c>
      <c r="GE7" s="49" t="str">
        <f t="shared" si="61"/>
        <v>Unit 9 - Spreadsheet Development</v>
      </c>
      <c r="GG7" s="23" t="s">
        <v>143</v>
      </c>
      <c r="GH7" s="47">
        <f>IF(COUNTIF(Diploma!list1,GG7)&gt;=1,"",ROW())</f>
        <v>7</v>
      </c>
      <c r="GI7" s="49" t="str">
        <f t="shared" si="62"/>
        <v>Unit 9 - Spreadsheet Development</v>
      </c>
      <c r="GK7" s="23" t="s">
        <v>605</v>
      </c>
      <c r="GL7" s="47">
        <f>IF(COUNTIF(Diploma!list1,GK7)&gt;=1,"",ROW())</f>
        <v>7</v>
      </c>
      <c r="GM7" s="49" t="str">
        <f t="shared" si="63"/>
        <v>Unit 20 - Law and its Impact on the Individual</v>
      </c>
      <c r="GO7" s="14" t="str">
        <f>IF(GK23=1,"","Unit 10 - Adventurous Activities in the Public Services")</f>
        <v>Unit 10 - Adventurous Activities in the Public Services</v>
      </c>
      <c r="GP7" s="47">
        <f t="shared" si="14"/>
        <v>7</v>
      </c>
      <c r="GQ7" s="49" t="str">
        <f t="shared" si="64"/>
        <v>Unit 10 - Adventurous Activities in the Public Services</v>
      </c>
      <c r="GS7" s="23" t="s">
        <v>318</v>
      </c>
      <c r="GT7" s="47">
        <f t="shared" si="15"/>
        <v>7</v>
      </c>
      <c r="GU7" s="49" t="str">
        <f t="shared" si="65"/>
        <v>Unit 12 - The Sport and Active Leisure Industry</v>
      </c>
      <c r="HA7" s="97" t="s">
        <v>318</v>
      </c>
      <c r="HB7" s="47">
        <f t="shared" si="16"/>
        <v>7</v>
      </c>
      <c r="HC7" s="49" t="str">
        <f t="shared" si="67"/>
        <v>Unit 12 - The Sport and Active Leisure Industry</v>
      </c>
      <c r="HI7" s="23" t="s">
        <v>625</v>
      </c>
      <c r="HJ7" s="47">
        <f t="shared" si="17"/>
        <v>7</v>
      </c>
      <c r="HK7" s="49" t="str">
        <f t="shared" si="68"/>
        <v>Unit 16 - The Provision of Sport and Active Leisure</v>
      </c>
      <c r="HM7" s="47" t="s">
        <v>436</v>
      </c>
      <c r="HN7" s="47">
        <f t="shared" si="18"/>
        <v>7</v>
      </c>
      <c r="HO7" s="49" t="str">
        <f t="shared" si="69"/>
        <v>Unit 18 - The Cruise Industry</v>
      </c>
      <c r="HU7" s="54" t="s">
        <v>426</v>
      </c>
      <c r="HV7" s="47">
        <f t="shared" si="19"/>
        <v>7</v>
      </c>
      <c r="HW7" s="49" t="str">
        <f t="shared" si="70"/>
        <v>Unit 18 - Computer Numerical Control Programming</v>
      </c>
      <c r="IC7" s="120" t="s">
        <v>542</v>
      </c>
      <c r="ID7" s="47">
        <f t="shared" si="20"/>
        <v>7</v>
      </c>
      <c r="IE7" s="49" t="str">
        <f t="shared" si="72"/>
        <v>Unit 23 - Electronic Devices and Communication Applications</v>
      </c>
      <c r="IK7" s="97" t="s">
        <v>315</v>
      </c>
      <c r="IL7" s="47">
        <f t="shared" si="21"/>
        <v>7</v>
      </c>
      <c r="IM7" s="49" t="str">
        <f t="shared" si="74"/>
        <v>Unit 13 - Engineering Assembly</v>
      </c>
      <c r="IS7" s="97" t="s">
        <v>320</v>
      </c>
      <c r="IT7" s="47">
        <f t="shared" si="22"/>
        <v>7</v>
      </c>
      <c r="IU7" s="49" t="str">
        <f t="shared" si="76"/>
        <v>Unit 14 - Vehicle Engines and Other Systems</v>
      </c>
    </row>
    <row r="8" spans="1:255" ht="15" customHeight="1">
      <c r="A8" s="47" t="s">
        <v>288</v>
      </c>
      <c r="B8" s="47">
        <f>IF(COUNTIF(Diploma!list1,A8)&gt;=1,"",ROW())</f>
        <v>8</v>
      </c>
      <c r="C8" s="47" t="str">
        <f t="shared" si="23"/>
        <v>Unit 12 - Textiles Briefs</v>
      </c>
      <c r="E8" s="33" t="s">
        <v>509</v>
      </c>
      <c r="F8" s="47">
        <f>IF(COUNTIF(Diploma!list1,E8)&gt;=1,"",ROW())</f>
        <v>8</v>
      </c>
      <c r="G8" s="49" t="str">
        <f t="shared" si="24"/>
        <v>Unit 25 - Introducing International Business</v>
      </c>
      <c r="I8" s="47"/>
      <c r="J8" s="47"/>
      <c r="K8" s="47"/>
      <c r="L8" s="47"/>
      <c r="M8" s="47" t="str">
        <f>IF(OR(P20=1,P23=1,P26=1,P29=1,P32=1),"","Unit 25 - Exploring Building Services Engineering")</f>
        <v>Unit 25 - Exploring Building Services Engineering</v>
      </c>
      <c r="N8" s="47">
        <f>IF(COUNTIF(Diploma!list1,M8)&gt;=1,"",ROW())</f>
        <v>8</v>
      </c>
      <c r="O8" s="49" t="str">
        <f t="shared" si="25"/>
        <v>Unit 25 - Exploring Building Services Engineering</v>
      </c>
      <c r="P8" s="47"/>
      <c r="Q8" s="47"/>
      <c r="R8" s="47"/>
      <c r="S8" s="47"/>
      <c r="T8" s="47"/>
      <c r="V8" s="47"/>
      <c r="W8" s="49"/>
      <c r="X8" s="47"/>
      <c r="Y8" t="s">
        <v>572</v>
      </c>
      <c r="Z8" s="47">
        <f>IF(COUNTIF(Diploma!list1,Y8)&gt;=1,"",ROW())</f>
        <v>8</v>
      </c>
      <c r="AA8" s="49" t="str">
        <f t="shared" si="28"/>
        <v>Unit 20 - Understanding Disability</v>
      </c>
      <c r="AB8" s="47"/>
      <c r="AC8" s="47"/>
      <c r="AD8" s="47"/>
      <c r="AE8" s="47"/>
      <c r="AF8" s="47"/>
      <c r="AG8" s="47"/>
      <c r="AH8" s="47"/>
      <c r="AI8" s="47"/>
      <c r="AJ8" s="47"/>
      <c r="AK8" s="23" t="s">
        <v>325</v>
      </c>
      <c r="AL8" s="47">
        <f>IF(COUNTIF(Diploma!list1,AK8)&gt;=1,"",ROW())</f>
        <v>8</v>
      </c>
      <c r="AM8" s="49" t="str">
        <f t="shared" si="30"/>
        <v>Unit 16 - Automated Computer Systems</v>
      </c>
      <c r="AN8" s="47"/>
      <c r="AO8" s="14" t="s">
        <v>37</v>
      </c>
      <c r="AP8" s="47">
        <f>IF(COUNTIF(Diploma!list1,AO8)&gt;=1,"",ROW())</f>
        <v>8</v>
      </c>
      <c r="AQ8" s="49" t="str">
        <f t="shared" si="31"/>
        <v>Unit 10 - Introducing Music Theory</v>
      </c>
      <c r="AR8" s="47"/>
      <c r="AS8" s="47"/>
      <c r="AT8" s="47"/>
      <c r="AU8" s="47"/>
      <c r="AV8" s="47"/>
      <c r="AW8" s="14" t="s">
        <v>255</v>
      </c>
      <c r="AX8" s="50">
        <f t="shared" si="0"/>
        <v>8</v>
      </c>
      <c r="AY8" s="49" t="str">
        <f t="shared" si="33"/>
        <v>Unit 16 - Contemporary Dance Techniques</v>
      </c>
      <c r="AZ8" s="47"/>
      <c r="BA8" s="14" t="s">
        <v>258</v>
      </c>
      <c r="BB8" s="50">
        <f>IF(COUNTIF(Certificate!$G$23:$G$25,BA8)&gt;=1,"",ROW())</f>
        <v>8</v>
      </c>
      <c r="BC8" s="49" t="str">
        <f t="shared" si="1"/>
        <v>Unit 15 - Performing Scripted Plays</v>
      </c>
      <c r="BD8" s="47"/>
      <c r="BE8" s="33" t="s">
        <v>613</v>
      </c>
      <c r="BF8" s="50">
        <f>IF(COUNTIF(Diploma!list1,BE8)&gt;=1,"",ROW())</f>
        <v>8</v>
      </c>
      <c r="BG8" s="49" t="str">
        <f t="shared" si="34"/>
        <v>Unit 33 - Planning and Managing a Performing Arts Event</v>
      </c>
      <c r="BH8" s="47"/>
      <c r="BI8" s="23" t="s">
        <v>317</v>
      </c>
      <c r="BJ8" s="50">
        <f t="shared" si="2"/>
        <v>8</v>
      </c>
      <c r="BK8" s="47" t="str">
        <f t="shared" si="35"/>
        <v>Unit 28 - Make-up for Performance</v>
      </c>
      <c r="BM8" s="14" t="s">
        <v>312</v>
      </c>
      <c r="BN8" s="50">
        <f>IF(COUNTIF('Extended Certificate'!$G$39,BM8)&gt;=1,"",ROW())</f>
        <v>8</v>
      </c>
      <c r="BO8" s="47" t="str">
        <f t="shared" si="3"/>
        <v>Unit 25 - Sound for Performance</v>
      </c>
      <c r="BP8" s="47"/>
      <c r="BQ8" s="14"/>
      <c r="BR8" s="50"/>
      <c r="BS8" s="49"/>
      <c r="BT8" s="47"/>
      <c r="BU8" s="14" t="s">
        <v>276</v>
      </c>
      <c r="BV8" s="50">
        <f>IF(COUNTIF(Diploma!list1,BU8)&gt;=1,"",ROW())</f>
        <v>8</v>
      </c>
      <c r="BW8" s="49" t="str">
        <f t="shared" si="36"/>
        <v>Unit 18 - Jazz Dance Techniques</v>
      </c>
      <c r="BX8" s="47"/>
      <c r="BY8" s="33" t="s">
        <v>618</v>
      </c>
      <c r="BZ8" s="50">
        <f t="shared" si="4"/>
        <v>8</v>
      </c>
      <c r="CA8" s="49" t="str">
        <f t="shared" si="37"/>
        <v>Unit 39 - Work Experience in the Performing Arts</v>
      </c>
      <c r="CB8" s="47"/>
      <c r="CC8" s="14" t="s">
        <v>312</v>
      </c>
      <c r="CD8" s="50">
        <f>IF(COUNTIF('Extended Certificate'!$G$39,CC8)&gt;=1,"",ROW())</f>
        <v>8</v>
      </c>
      <c r="CE8" s="47" t="str">
        <f t="shared" si="38"/>
        <v>Unit 25 - Sound for Performance</v>
      </c>
      <c r="CF8" s="47"/>
      <c r="CG8" s="47"/>
      <c r="CH8" s="47"/>
      <c r="CI8" s="47"/>
      <c r="CJ8" s="47"/>
      <c r="CK8" s="14" t="s">
        <v>285</v>
      </c>
      <c r="CL8" s="50">
        <f>IF(COUNTIF(Certificate!$G$23:$G$25,CK8)&gt;=1,"",ROW())</f>
        <v>8</v>
      </c>
      <c r="CM8" s="47" t="str">
        <f t="shared" si="5"/>
        <v>Unit 21 - Realising Set Design for Performance</v>
      </c>
      <c r="CN8" s="47"/>
      <c r="CO8" s="55" t="s">
        <v>312</v>
      </c>
      <c r="CP8" s="50">
        <f>IF(COUNTIF(Diploma!list1,CO8)&gt;=1,"",ROW())</f>
        <v>8</v>
      </c>
      <c r="CQ8" s="49" t="str">
        <f t="shared" si="39"/>
        <v>Unit 25 - Sound for Performance</v>
      </c>
      <c r="CR8" s="47"/>
      <c r="CS8" s="14"/>
      <c r="CT8" s="50"/>
      <c r="CU8" s="47"/>
      <c r="CV8" s="47"/>
      <c r="CW8" s="23" t="s">
        <v>633</v>
      </c>
      <c r="CX8" s="50">
        <f>IF(COUNTIF(Diploma!list1,CW8)&gt;=1,"",ROW())</f>
        <v>8</v>
      </c>
      <c r="CY8" s="49" t="str">
        <f t="shared" si="41"/>
        <v>Unit 22 - Water-based Outdoor and Adventurous Activity Leadership</v>
      </c>
      <c r="CZ8" s="47"/>
      <c r="DB8" s="47"/>
      <c r="DC8" s="49"/>
      <c r="DD8" s="47"/>
      <c r="DE8" s="47" t="s">
        <v>360</v>
      </c>
      <c r="DF8" s="47">
        <f>IF(COUNTIF('Extended Certificate'!$G$31:$G$37,DE8)&gt;=1,"",ROW())</f>
        <v>8</v>
      </c>
      <c r="DG8" s="49" t="str">
        <f t="shared" si="43"/>
        <v>Unit 15 - Digital Games Testing</v>
      </c>
      <c r="DH8" s="47"/>
      <c r="DI8" s="120" t="s">
        <v>488</v>
      </c>
      <c r="DJ8" s="47">
        <f>IF(COUNTIF(Diploma!list1,DI8)&gt;=1,"",ROW())</f>
        <v>8</v>
      </c>
      <c r="DK8" s="49" t="str">
        <f t="shared" si="44"/>
        <v>Unit 30 - Ceramics</v>
      </c>
      <c r="DL8" s="47"/>
      <c r="DM8" s="120" t="s">
        <v>483</v>
      </c>
      <c r="DN8" s="47">
        <f>IF(COUNTIF(Diploma!list1,DM8)&gt;=1,"",ROW())</f>
        <v>8</v>
      </c>
      <c r="DO8" s="49" t="str">
        <f t="shared" si="45"/>
        <v>Unit 25 - Fashion Promotion</v>
      </c>
      <c r="DP8" s="47"/>
      <c r="DQ8" s="120" t="s">
        <v>490</v>
      </c>
      <c r="DR8" s="47">
        <f>IF(COUNTIF(Diploma!list1,DQ8)&gt;=1,"",ROW())</f>
        <v>8</v>
      </c>
      <c r="DS8" s="49" t="str">
        <f t="shared" si="46"/>
        <v>Unit 31 - Studio Photography</v>
      </c>
      <c r="DT8" s="47"/>
      <c r="DU8" s="47" t="s">
        <v>443</v>
      </c>
      <c r="DV8" s="47">
        <f>IF(COUNTIF(Diploma!list1,DU8)&gt;=1,"",ROW())</f>
        <v>8</v>
      </c>
      <c r="DW8" s="49" t="str">
        <f t="shared" si="47"/>
        <v>Unit 17 - Art, Craft and Design in the Creative Industries</v>
      </c>
      <c r="DX8" s="47"/>
      <c r="DY8" s="120" t="s">
        <v>486</v>
      </c>
      <c r="DZ8" s="47">
        <f>IF(COUNTIF(Diploma!list1,DY8)&gt;=1,"",ROW())</f>
        <v>8</v>
      </c>
      <c r="EA8" s="49" t="str">
        <f t="shared" si="48"/>
        <v>Unit 28 - Printmaking Briefs</v>
      </c>
      <c r="EB8" s="47"/>
      <c r="EC8" s="47" t="s">
        <v>414</v>
      </c>
      <c r="ED8" s="47">
        <f>IF(COUNTIF(Diploma!list1,EC8)&gt;=1,"",ROW())</f>
        <v>8</v>
      </c>
      <c r="EE8" s="49" t="str">
        <f t="shared" si="49"/>
        <v>Unit 19 - Digital Art and Design Briefs</v>
      </c>
      <c r="EF8" s="47"/>
      <c r="EG8" s="47"/>
      <c r="EH8" s="47"/>
      <c r="EI8" s="47"/>
      <c r="EJ8" s="47"/>
      <c r="EK8" s="47" t="str">
        <f>IF(OR(AF15=1,AF12=1),"","Unit 17 - Alcohol Awareness in Hospitality")</f>
        <v>Unit 17 - Alcohol Awareness in Hospitality</v>
      </c>
      <c r="EL8">
        <f t="shared" si="6"/>
        <v>8</v>
      </c>
      <c r="EM8" s="49" t="str">
        <f t="shared" si="50"/>
        <v>Unit 17 - Alcohol Awareness in Hospitality</v>
      </c>
      <c r="EN8" s="47"/>
      <c r="EO8" s="47" t="s">
        <v>453</v>
      </c>
      <c r="EP8" s="47">
        <f t="shared" si="7"/>
        <v>8</v>
      </c>
      <c r="EQ8" s="49" t="str">
        <f t="shared" si="51"/>
        <v>Unit 19 - Developing Music Theory</v>
      </c>
      <c r="ES8" s="14" t="s">
        <v>402</v>
      </c>
      <c r="ET8" s="47">
        <f>IF(COUNTIF('Extended Certificate'!$G$21:$G$29,ES8)&gt;=1,"",ROW())</f>
        <v>8</v>
      </c>
      <c r="EU8" s="49" t="str">
        <f t="shared" si="52"/>
        <v xml:space="preserve">Unit 15 - Investigating a Crime Scene </v>
      </c>
      <c r="EW8" t="s">
        <v>464</v>
      </c>
      <c r="EX8" s="47">
        <f>IF(COUNTIF('Extended Certificate'!$G$21:$G$29,EW8)&gt;=1,"",ROW())</f>
        <v>8</v>
      </c>
      <c r="EY8" s="49" t="str">
        <f t="shared" si="53"/>
        <v>Unit 11 - Sport and Recreation in the Public Services</v>
      </c>
      <c r="FA8" s="33" t="s">
        <v>387</v>
      </c>
      <c r="FB8">
        <f t="shared" si="8"/>
        <v>8</v>
      </c>
      <c r="FC8" s="49" t="str">
        <f t="shared" si="54"/>
        <v>Unit 17 - Visual Merchandising in Retail Business</v>
      </c>
      <c r="FE8" s="23" t="str">
        <f>IF(OR(P20=1,P23=1,P26=1,P29=1,P32=1),"","Unit 13 - Exploring Roofing Principles and Techniques")</f>
        <v>Unit 13 - Exploring Roofing Principles and Techniques</v>
      </c>
      <c r="FF8">
        <f t="shared" si="9"/>
        <v>8</v>
      </c>
      <c r="FG8" s="123" t="str">
        <f t="shared" si="55"/>
        <v>Unit 13 - Exploring Roofing Principles and Techniques</v>
      </c>
      <c r="FM8" t="s">
        <v>538</v>
      </c>
      <c r="FN8">
        <f t="shared" si="10"/>
        <v>8</v>
      </c>
      <c r="FO8" s="123" t="str">
        <f t="shared" si="57"/>
        <v>Unit 18 - Lighting for Moving Image</v>
      </c>
      <c r="FQ8" s="47" t="s">
        <v>428</v>
      </c>
      <c r="FR8">
        <f t="shared" si="11"/>
        <v>8</v>
      </c>
      <c r="FS8" s="123" t="str">
        <f t="shared" si="58"/>
        <v>Unit 17 - Welding</v>
      </c>
      <c r="FU8" s="23" t="s">
        <v>565</v>
      </c>
      <c r="FV8">
        <f t="shared" si="12"/>
        <v>8</v>
      </c>
      <c r="FW8" s="123" t="str">
        <f t="shared" si="59"/>
        <v>Unit 24 - Infection Control in Health and Social Care</v>
      </c>
      <c r="FY8" s="23" t="s">
        <v>592</v>
      </c>
      <c r="FZ8">
        <f t="shared" si="13"/>
        <v>8</v>
      </c>
      <c r="GA8" s="123" t="str">
        <f t="shared" si="60"/>
        <v>Unit 20 - Building a Personal Computer</v>
      </c>
      <c r="GC8" s="23" t="s">
        <v>306</v>
      </c>
      <c r="GD8" s="47">
        <f>IF(COUNTIF(Diploma!list1,GC8)&gt;=1,"",ROW())</f>
        <v>8</v>
      </c>
      <c r="GE8" s="49" t="str">
        <f t="shared" si="61"/>
        <v>Unit 10 - Database Development</v>
      </c>
      <c r="GG8" s="23" t="s">
        <v>306</v>
      </c>
      <c r="GH8" s="47">
        <f>IF(COUNTIF(Diploma!list1,GG8)&gt;=1,"",ROW())</f>
        <v>8</v>
      </c>
      <c r="GI8" s="49" t="str">
        <f t="shared" si="62"/>
        <v>Unit 10 - Database Development</v>
      </c>
      <c r="GO8" s="14" t="s">
        <v>464</v>
      </c>
      <c r="GP8" s="47">
        <f t="shared" si="14"/>
        <v>8</v>
      </c>
      <c r="GQ8" s="49" t="str">
        <f t="shared" si="64"/>
        <v>Unit 11 - Sport and Recreation in the Public Services</v>
      </c>
      <c r="GS8" s="47" t="s">
        <v>442</v>
      </c>
      <c r="GT8" s="47">
        <f t="shared" si="15"/>
        <v>8</v>
      </c>
      <c r="GU8" s="49" t="str">
        <f t="shared" si="65"/>
        <v>Unit 13 - Profiling Sports Performance</v>
      </c>
      <c r="HA8" s="23" t="s">
        <v>442</v>
      </c>
      <c r="HB8" s="47">
        <f t="shared" si="16"/>
        <v>8</v>
      </c>
      <c r="HC8" s="49" t="str">
        <f t="shared" si="67"/>
        <v>Unit 13 - Profiling Sports Performance</v>
      </c>
      <c r="HI8" s="23" t="s">
        <v>626</v>
      </c>
      <c r="HJ8" s="47">
        <f t="shared" si="17"/>
        <v>8</v>
      </c>
      <c r="HK8" s="49" t="str">
        <f t="shared" si="68"/>
        <v>Unit 23 - Sport Community Volunteering</v>
      </c>
      <c r="HM8" s="94" t="s">
        <v>641</v>
      </c>
      <c r="HN8" s="47">
        <f t="shared" si="18"/>
        <v>8</v>
      </c>
      <c r="HO8" s="49" t="str">
        <f t="shared" si="69"/>
        <v>Unit 19 - Hospitality Operations in the Travel and Tourism Sector</v>
      </c>
      <c r="HU8" s="54" t="s">
        <v>430</v>
      </c>
      <c r="HV8" s="47">
        <f t="shared" si="19"/>
        <v>8</v>
      </c>
      <c r="HW8" s="49" t="str">
        <f t="shared" si="70"/>
        <v>Unit 20 - Sustainable Vehicle Power and Structure Design</v>
      </c>
      <c r="IC8" s="120" t="s">
        <v>549</v>
      </c>
      <c r="ID8" s="47">
        <f t="shared" si="20"/>
        <v>8</v>
      </c>
      <c r="IE8" s="49" t="str">
        <f t="shared" si="72"/>
        <v>Unit 30 - Vehicle Maintenance Techniques</v>
      </c>
      <c r="IK8" s="54" t="s">
        <v>428</v>
      </c>
      <c r="IL8" s="47">
        <f t="shared" si="21"/>
        <v>8</v>
      </c>
      <c r="IM8" s="49" t="str">
        <f t="shared" si="74"/>
        <v>Unit 17 - Welding</v>
      </c>
      <c r="IS8" s="54" t="s">
        <v>428</v>
      </c>
      <c r="IT8" s="47">
        <f t="shared" si="22"/>
        <v>8</v>
      </c>
      <c r="IU8" s="49" t="str">
        <f t="shared" si="76"/>
        <v>Unit 17 - Welding</v>
      </c>
    </row>
    <row r="9" spans="1:255">
      <c r="A9" s="47" t="str">
        <f>IF(OR(A39=1,A48=1),"","Unit 13 - Visual Arts Briefs")</f>
        <v>Unit 13 - Visual Arts Briefs</v>
      </c>
      <c r="B9" s="47">
        <f>IF(COUNTIF(Diploma!list1,A9)&gt;=1,"",ROW())</f>
        <v>9</v>
      </c>
      <c r="C9" s="47" t="str">
        <f t="shared" si="23"/>
        <v>Unit 13 - Visual Arts Briefs</v>
      </c>
      <c r="E9" s="33" t="s">
        <v>510</v>
      </c>
      <c r="F9" s="47">
        <f>IF(COUNTIF(Diploma!list1,E9)&gt;=1,"",ROW())</f>
        <v>9</v>
      </c>
      <c r="G9" s="49" t="str">
        <f t="shared" si="24"/>
        <v>Unit 26 - Introducing the Economic Environment</v>
      </c>
      <c r="I9" s="47"/>
      <c r="J9" s="47"/>
      <c r="K9" s="47"/>
      <c r="L9" s="47"/>
      <c r="M9" s="47" t="str">
        <f>IF(OR(P20=1,P23=1,P26=1,P29=1,P32=1),"","Unit 26 - Exploring Facilities Management")</f>
        <v>Unit 26 - Exploring Facilities Management</v>
      </c>
      <c r="N9" s="47">
        <f>IF(COUNTIF(Diploma!list1,M9)&gt;=1,"",ROW())</f>
        <v>9</v>
      </c>
      <c r="O9" s="49" t="str">
        <f t="shared" si="25"/>
        <v>Unit 26 - Exploring Facilities Management</v>
      </c>
      <c r="P9" s="47"/>
      <c r="Q9" s="47"/>
      <c r="R9" s="47"/>
      <c r="S9" s="47"/>
      <c r="T9" s="47"/>
      <c r="V9" s="47"/>
      <c r="W9" s="49"/>
      <c r="X9" s="47"/>
      <c r="Y9" t="s">
        <v>573</v>
      </c>
      <c r="Z9" s="47">
        <f>IF(COUNTIF(Diploma!list1,Y9)&gt;=1,"",ROW())</f>
        <v>9</v>
      </c>
      <c r="AA9" s="49" t="str">
        <f t="shared" si="28"/>
        <v>Unit 21 - Introduction to Dementia</v>
      </c>
      <c r="AB9" s="47"/>
      <c r="AC9" s="47"/>
      <c r="AD9" s="47"/>
      <c r="AE9" s="47"/>
      <c r="AF9" s="47"/>
      <c r="AG9" s="47"/>
      <c r="AH9" s="47"/>
      <c r="AI9" s="47"/>
      <c r="AJ9" s="47"/>
      <c r="AK9" s="23" t="s">
        <v>590</v>
      </c>
      <c r="AL9" s="47">
        <f>IF(COUNTIF(Diploma!list1,AK9)&gt;=1,"",ROW())</f>
        <v>9</v>
      </c>
      <c r="AM9" s="49" t="str">
        <f t="shared" si="30"/>
        <v>Unit 21 - A Technology Business</v>
      </c>
      <c r="AN9" s="47"/>
      <c r="AR9" s="47"/>
      <c r="AS9" s="47"/>
      <c r="AT9" s="47"/>
      <c r="AU9" s="47"/>
      <c r="AV9" s="47"/>
      <c r="AW9" s="14" t="s">
        <v>268</v>
      </c>
      <c r="AX9" s="50">
        <f t="shared" si="0"/>
        <v>9</v>
      </c>
      <c r="AY9" s="49" t="str">
        <f t="shared" si="33"/>
        <v>Unit 17 - Exploring Urban Dance Styles</v>
      </c>
      <c r="AZ9" s="47"/>
      <c r="BA9" s="14" t="s">
        <v>255</v>
      </c>
      <c r="BB9" s="50">
        <f>IF(COUNTIF(Certificate!$G$23:$G$25,BA9)&gt;=1,"",ROW())</f>
        <v>9</v>
      </c>
      <c r="BC9" s="49" t="str">
        <f t="shared" si="1"/>
        <v>Unit 16 - Contemporary Dance Techniques</v>
      </c>
      <c r="BD9" s="47"/>
      <c r="BE9" s="33" t="s">
        <v>615</v>
      </c>
      <c r="BF9" s="50">
        <f>IF(COUNTIF(Diploma!list1,BE9)&gt;=1,"",ROW())</f>
        <v>9</v>
      </c>
      <c r="BG9" s="49" t="str">
        <f t="shared" si="34"/>
        <v>Unit 35 - Physical Theatre Performance</v>
      </c>
      <c r="BH9" s="47"/>
      <c r="BI9" s="33" t="s">
        <v>617</v>
      </c>
      <c r="BJ9" s="50">
        <f t="shared" si="2"/>
        <v>9</v>
      </c>
      <c r="BK9" s="47" t="str">
        <f t="shared" si="35"/>
        <v>Unit 38 - Use of ICT in the Performing Arts</v>
      </c>
      <c r="BM9" s="23" t="s">
        <v>317</v>
      </c>
      <c r="BN9" s="50">
        <f>IF(COUNTIF('Extended Certificate'!$G$39,BM9)&gt;=1,"",ROW())</f>
        <v>9</v>
      </c>
      <c r="BO9" s="47" t="str">
        <f t="shared" si="3"/>
        <v>Unit 28 - Make-up for Performance</v>
      </c>
      <c r="BP9" s="47"/>
      <c r="BQ9" s="14"/>
      <c r="BR9" s="50"/>
      <c r="BS9" s="49"/>
      <c r="BT9" s="47"/>
      <c r="BU9" s="33" t="s">
        <v>611</v>
      </c>
      <c r="BV9" s="50">
        <f>IF(COUNTIF(Diploma!list1,BU9)&gt;=1,"",ROW())</f>
        <v>9</v>
      </c>
      <c r="BW9" s="49" t="str">
        <f t="shared" si="36"/>
        <v>Unit 30 - Choreographing Dance</v>
      </c>
      <c r="BX9" s="47"/>
      <c r="CB9" s="47"/>
      <c r="CC9" s="23" t="s">
        <v>317</v>
      </c>
      <c r="CD9" s="50">
        <f>IF(COUNTIF('Extended Certificate'!$G$39,CC9)&gt;=1,"",ROW())</f>
        <v>9</v>
      </c>
      <c r="CE9" s="47" t="str">
        <f t="shared" si="38"/>
        <v>Unit 28 - Make-up for Performance</v>
      </c>
      <c r="CF9" s="47"/>
      <c r="CG9" s="47"/>
      <c r="CH9" s="47"/>
      <c r="CI9" s="47"/>
      <c r="CJ9" s="47"/>
      <c r="CK9" s="14" t="s">
        <v>292</v>
      </c>
      <c r="CL9" s="50">
        <f>IF(COUNTIF(Certificate!$G$23:$G$25,CK9)&gt;=1,"",ROW())</f>
        <v>9</v>
      </c>
      <c r="CM9" s="47" t="str">
        <f t="shared" si="5"/>
        <v>Unit 22 - Realising Prop Design for Performance</v>
      </c>
      <c r="CN9" s="47"/>
      <c r="CO9" s="97" t="s">
        <v>327</v>
      </c>
      <c r="CP9" s="50">
        <f>IF(COUNTIF(Diploma!list1,CO9)&gt;=1,"",ROW())</f>
        <v>9</v>
      </c>
      <c r="CQ9" s="49" t="str">
        <f t="shared" si="39"/>
        <v>Unit 26 - Supporting Performance: Stage Management</v>
      </c>
      <c r="CR9" s="47"/>
      <c r="CS9" s="14"/>
      <c r="CT9" s="50"/>
      <c r="CU9" s="47"/>
      <c r="CV9" s="47"/>
      <c r="CW9" s="23" t="s">
        <v>628</v>
      </c>
      <c r="CX9" s="50">
        <f>IF(COUNTIF(Diploma!list1,CW9)&gt;=1,"",ROW())</f>
        <v>9</v>
      </c>
      <c r="CY9" s="49" t="str">
        <f t="shared" si="41"/>
        <v>Unit 24 - Work Experience in Sport</v>
      </c>
      <c r="CZ9" s="47"/>
      <c r="DB9" s="47"/>
      <c r="DC9" s="49"/>
      <c r="DD9" s="47"/>
      <c r="DE9" s="47" t="s">
        <v>422</v>
      </c>
      <c r="DF9" s="47">
        <f>IF(COUNTIF('Extended Certificate'!$G$31:$G$37,DE9)&gt;=1,"",ROW())</f>
        <v>9</v>
      </c>
      <c r="DG9" s="49" t="str">
        <f t="shared" si="43"/>
        <v xml:space="preserve">Unit 16 - Digital Art for a Media Product </v>
      </c>
      <c r="DH9" s="47"/>
      <c r="DI9" s="120" t="s">
        <v>495</v>
      </c>
      <c r="DJ9" s="47">
        <f>IF(COUNTIF(Diploma!list1,DI9)&gt;=1,"",ROW())</f>
        <v>9</v>
      </c>
      <c r="DK9" s="49" t="str">
        <f t="shared" si="44"/>
        <v>Unit 36 - Surface Design</v>
      </c>
      <c r="DL9" s="47"/>
      <c r="DM9" s="120" t="s">
        <v>486</v>
      </c>
      <c r="DN9" s="47">
        <f>IF(COUNTIF(Diploma!list1,DM9)&gt;=1,"",ROW())</f>
        <v>9</v>
      </c>
      <c r="DO9" s="49" t="str">
        <f t="shared" si="45"/>
        <v>Unit 28 - Printmaking Briefs</v>
      </c>
      <c r="DP9" s="47"/>
      <c r="DQ9" s="120" t="s">
        <v>491</v>
      </c>
      <c r="DR9" s="47">
        <f>IF(COUNTIF(Diploma!list1,DQ9)&gt;=1,"",ROW())</f>
        <v>9</v>
      </c>
      <c r="DS9" s="49" t="str">
        <f t="shared" si="46"/>
        <v>Unit 32 - Location Photography</v>
      </c>
      <c r="DT9" s="47"/>
      <c r="DU9" s="120" t="str">
        <f>IF(DU24=1,"","Unit 18 - 3D Design Briefs")</f>
        <v>Unit 18 - 3D Design Briefs</v>
      </c>
      <c r="DV9" s="47">
        <f>IF(COUNTIF(Diploma!list1,DU9)&gt;=1,"",ROW())</f>
        <v>9</v>
      </c>
      <c r="DW9" s="49" t="str">
        <f t="shared" si="47"/>
        <v>Unit 18 - 3D Design Briefs</v>
      </c>
      <c r="DX9" s="47"/>
      <c r="DY9" s="120" t="s">
        <v>487</v>
      </c>
      <c r="DZ9" s="47">
        <f>IF(COUNTIF(Diploma!list1,DY9)&gt;=1,"",ROW())</f>
        <v>9</v>
      </c>
      <c r="EA9" s="49" t="str">
        <f t="shared" si="48"/>
        <v>Unit 29 - Drawing from Observation</v>
      </c>
      <c r="EB9" s="47"/>
      <c r="EC9" s="120" t="s">
        <v>445</v>
      </c>
      <c r="ED9" s="47">
        <f>IF(COUNTIF(Diploma!list1,EC9)&gt;=1,"",ROW())</f>
        <v>9</v>
      </c>
      <c r="EE9" s="49" t="str">
        <f t="shared" si="49"/>
        <v>Unit 20 - Interactive Media Production Briefs</v>
      </c>
      <c r="EF9" s="47"/>
      <c r="EG9" s="47"/>
      <c r="EH9" s="47"/>
      <c r="EI9" s="47"/>
      <c r="EJ9" s="47"/>
      <c r="EK9" s="47" t="str">
        <f>IF(OR(AF15=1,AF12=1),"","Unit 19 - Hospitality Research Project")</f>
        <v>Unit 19 - Hospitality Research Project</v>
      </c>
      <c r="EL9">
        <f t="shared" si="6"/>
        <v>9</v>
      </c>
      <c r="EM9" s="49" t="str">
        <f t="shared" si="50"/>
        <v>Unit 19 - Hospitality Research Project</v>
      </c>
      <c r="EN9" s="47"/>
      <c r="EO9" s="47" t="s">
        <v>454</v>
      </c>
      <c r="EP9" s="47">
        <f t="shared" si="7"/>
        <v>9</v>
      </c>
      <c r="EQ9" s="49" t="str">
        <f t="shared" si="51"/>
        <v>Unit 20 - Music Fusion</v>
      </c>
      <c r="ES9" s="14" t="s">
        <v>403</v>
      </c>
      <c r="ET9" s="47">
        <f>IF(COUNTIF('Extended Certificate'!$G$21:$G$29,ES9)&gt;=1,"",ROW())</f>
        <v>9</v>
      </c>
      <c r="EU9" s="49" t="str">
        <f t="shared" si="52"/>
        <v xml:space="preserve">Unit 16 - Science in Medicine </v>
      </c>
      <c r="EW9" t="s">
        <v>465</v>
      </c>
      <c r="EX9" s="47">
        <f>IF(COUNTIF('Extended Certificate'!$G$21:$G$29,EW9)&gt;=1,"",ROW())</f>
        <v>9</v>
      </c>
      <c r="EY9" s="49" t="str">
        <f t="shared" si="53"/>
        <v>Unit 12 - Land Navigation by Map and Compass</v>
      </c>
      <c r="FA9" s="33" t="s">
        <v>514</v>
      </c>
      <c r="FB9">
        <f t="shared" si="8"/>
        <v>9</v>
      </c>
      <c r="FC9" s="49" t="str">
        <f t="shared" si="54"/>
        <v>Unit 30 - Corporate Social Responsibility</v>
      </c>
      <c r="FE9" s="23" t="str">
        <f>IF(OR(P20=1,P23=1,P26=1,P29=1,P32=1),"","Unit 14 - Exploring Wall and Floor Tiling Principles and Techniques")</f>
        <v>Unit 14 - Exploring Wall and Floor Tiling Principles and Techniques</v>
      </c>
      <c r="FF9">
        <f t="shared" si="9"/>
        <v>9</v>
      </c>
      <c r="FG9" s="123" t="str">
        <f t="shared" si="55"/>
        <v>Unit 14 - Exploring Wall and Floor Tiling Principles and Techniques</v>
      </c>
      <c r="FQ9" s="47" t="s">
        <v>429</v>
      </c>
      <c r="FR9">
        <f t="shared" si="11"/>
        <v>9</v>
      </c>
      <c r="FS9" s="123" t="str">
        <f t="shared" si="58"/>
        <v>Unit 19 - Bicycle Servicing and Maintenance</v>
      </c>
      <c r="FU9" s="23" t="s">
        <v>564</v>
      </c>
      <c r="FV9">
        <f t="shared" si="12"/>
        <v>9</v>
      </c>
      <c r="FW9" s="123" t="str">
        <f t="shared" si="59"/>
        <v>Unit 25 - Using ICT in Health and Social Care</v>
      </c>
      <c r="FY9" s="23" t="s">
        <v>593</v>
      </c>
      <c r="FZ9">
        <f t="shared" si="13"/>
        <v>9</v>
      </c>
      <c r="GA9" s="123" t="str">
        <f t="shared" si="60"/>
        <v>Unit 25 - IT Work Experience</v>
      </c>
      <c r="GC9" s="23" t="s">
        <v>144</v>
      </c>
      <c r="GD9" s="47">
        <f>IF(COUNTIF(Diploma!list1,GC9)&gt;=1,"",ROW())</f>
        <v>9</v>
      </c>
      <c r="GE9" s="49" t="str">
        <f t="shared" si="61"/>
        <v>Unit 11 - Computer Networks</v>
      </c>
      <c r="GG9" s="23" t="s">
        <v>316</v>
      </c>
      <c r="GH9" s="47">
        <f>IF(COUNTIF(Diploma!list1,GG9)&gt;=1,"",ROW())</f>
        <v>9</v>
      </c>
      <c r="GI9" s="49" t="str">
        <f t="shared" si="62"/>
        <v>Unit 12 - Software Development</v>
      </c>
      <c r="GO9" s="14" t="s">
        <v>468</v>
      </c>
      <c r="GP9" s="47">
        <f t="shared" si="14"/>
        <v>9</v>
      </c>
      <c r="GQ9" s="49" t="str">
        <f t="shared" si="64"/>
        <v>Unit 15 - Health and Safety in the Public Services</v>
      </c>
      <c r="GS9" s="102" t="s">
        <v>625</v>
      </c>
      <c r="GT9" s="47">
        <f t="shared" si="15"/>
        <v>9</v>
      </c>
      <c r="GU9" s="49" t="str">
        <f t="shared" si="65"/>
        <v>Unit 16 - The Provision of Sport and Active Leisure</v>
      </c>
      <c r="HA9" s="23" t="s">
        <v>623</v>
      </c>
      <c r="HB9" s="47">
        <f t="shared" si="16"/>
        <v>9</v>
      </c>
      <c r="HC9" s="49" t="str">
        <f t="shared" si="67"/>
        <v>Unit 15 - Designing Exercise Programmes</v>
      </c>
      <c r="HM9" s="47" t="s">
        <v>438</v>
      </c>
      <c r="HN9" s="47">
        <f t="shared" si="18"/>
        <v>9</v>
      </c>
      <c r="HO9" s="49" t="str">
        <f t="shared" si="69"/>
        <v>Unit 20 - UK Visitor Attractions</v>
      </c>
      <c r="IK9" s="54" t="s">
        <v>426</v>
      </c>
      <c r="IL9" s="47">
        <f t="shared" si="21"/>
        <v>9</v>
      </c>
      <c r="IM9" s="49" t="str">
        <f t="shared" si="74"/>
        <v>Unit 18 - Computer Numerical Control Programming</v>
      </c>
      <c r="IS9" s="54" t="s">
        <v>426</v>
      </c>
      <c r="IT9" s="47">
        <f t="shared" si="22"/>
        <v>9</v>
      </c>
      <c r="IU9" s="49" t="str">
        <f t="shared" si="76"/>
        <v>Unit 18 - Computer Numerical Control Programming</v>
      </c>
    </row>
    <row r="10" spans="1:255">
      <c r="A10" s="47" t="s">
        <v>297</v>
      </c>
      <c r="B10" s="47">
        <f>IF(COUNTIF(Diploma!list1,A10)&gt;=1,"",ROW())</f>
        <v>10</v>
      </c>
      <c r="C10" s="47" t="str">
        <f t="shared" si="23"/>
        <v>Unit 14 - Photography Briefs</v>
      </c>
      <c r="E10" s="33" t="s">
        <v>511</v>
      </c>
      <c r="F10" s="47">
        <f>IF(COUNTIF(Diploma!list1,E10)&gt;=1,"",ROW())</f>
        <v>10</v>
      </c>
      <c r="G10" s="49" t="str">
        <f t="shared" si="24"/>
        <v>Unit 27 - Efficient Business Operations</v>
      </c>
      <c r="I10" s="47"/>
      <c r="J10" s="47"/>
      <c r="K10" s="47"/>
      <c r="L10" s="47"/>
      <c r="N10" s="47"/>
      <c r="O10" s="49"/>
      <c r="P10" s="47"/>
      <c r="Q10" s="47"/>
      <c r="R10" s="47"/>
      <c r="S10" s="47"/>
      <c r="T10" s="47"/>
      <c r="V10" s="47"/>
      <c r="W10" s="49"/>
      <c r="X10" s="47"/>
      <c r="Z10" s="47"/>
      <c r="AA10" s="49"/>
      <c r="AB10" s="47"/>
      <c r="AC10" s="47"/>
      <c r="AD10" s="47"/>
      <c r="AE10" s="47"/>
      <c r="AF10" s="47"/>
      <c r="AG10" s="47"/>
      <c r="AH10" s="47"/>
      <c r="AI10" s="47"/>
      <c r="AJ10" s="47"/>
      <c r="AK10" s="23" t="s">
        <v>589</v>
      </c>
      <c r="AL10" s="47">
        <f>IF(COUNTIF(Diploma!list1,AK10)&gt;=1,"",ROW())</f>
        <v>10</v>
      </c>
      <c r="AM10" s="49" t="str">
        <f t="shared" si="30"/>
        <v>Unit 22 - Computer Security in Practice</v>
      </c>
      <c r="AN10" s="47"/>
      <c r="AR10" s="47"/>
      <c r="AS10" s="47"/>
      <c r="AT10" s="47"/>
      <c r="AU10" s="47"/>
      <c r="AV10" s="47"/>
      <c r="AW10" s="14" t="s">
        <v>276</v>
      </c>
      <c r="AX10" s="50">
        <f t="shared" si="0"/>
        <v>10</v>
      </c>
      <c r="AY10" s="49" t="str">
        <f t="shared" si="33"/>
        <v>Unit 18 - Jazz Dance Techniques</v>
      </c>
      <c r="AZ10" s="47"/>
      <c r="BA10" s="14" t="s">
        <v>268</v>
      </c>
      <c r="BB10" s="50">
        <f>IF(COUNTIF(Certificate!$G$23:$G$25,BA10)&gt;=1,"",ROW())</f>
        <v>10</v>
      </c>
      <c r="BC10" s="49" t="str">
        <f t="shared" si="1"/>
        <v>Unit 17 - Exploring Urban Dance Styles</v>
      </c>
      <c r="BD10" s="47"/>
      <c r="BE10" s="33" t="s">
        <v>616</v>
      </c>
      <c r="BF10" s="50">
        <f>IF(COUNTIF(Diploma!list1,BE10)&gt;=1,"",ROW())</f>
        <v>10</v>
      </c>
      <c r="BG10" s="49" t="str">
        <f t="shared" si="34"/>
        <v>Unit 36 - Variety Performance</v>
      </c>
      <c r="BH10" s="47"/>
      <c r="BI10" s="33" t="s">
        <v>618</v>
      </c>
      <c r="BJ10" s="50">
        <f t="shared" si="2"/>
        <v>10</v>
      </c>
      <c r="BK10" s="47" t="str">
        <f>IF(ROW(BI10)-ROW(BI$2)+1&gt;COUNT(BJ$2:BJ$10),"",INDEX(BI:BI,SMALL(BJ$2:BJ$10,1+ROW(BI10)-ROW(BI$2))))</f>
        <v>Unit 39 - Work Experience in the Performing Arts</v>
      </c>
      <c r="BM10" s="23" t="s">
        <v>321</v>
      </c>
      <c r="BN10" s="50">
        <f>IF(COUNTIF('Extended Certificate'!$G$39,BM10)&gt;=1,"",ROW())</f>
        <v>10</v>
      </c>
      <c r="BO10" s="47" t="str">
        <f t="shared" si="3"/>
        <v>Unit 29 - Wardrobe for Stage Performance</v>
      </c>
      <c r="BP10" s="47"/>
      <c r="BQ10" s="14"/>
      <c r="BR10" s="50"/>
      <c r="BS10" s="49"/>
      <c r="BT10" s="47"/>
      <c r="BU10" s="33" t="s">
        <v>615</v>
      </c>
      <c r="BV10" s="50">
        <f>IF(COUNTIF(Diploma!list1,BU10)&gt;=1,"",ROW())</f>
        <v>10</v>
      </c>
      <c r="BW10" s="49" t="str">
        <f t="shared" si="36"/>
        <v>Unit 35 - Physical Theatre Performance</v>
      </c>
      <c r="BX10" s="47"/>
      <c r="CB10" s="47"/>
      <c r="CC10" s="23" t="s">
        <v>321</v>
      </c>
      <c r="CD10" s="50">
        <f>IF(COUNTIF('Extended Certificate'!$G$39,CC10)&gt;=1,"",ROW())</f>
        <v>10</v>
      </c>
      <c r="CE10" s="47" t="str">
        <f t="shared" si="38"/>
        <v>Unit 29 - Wardrobe for Stage Performance</v>
      </c>
      <c r="CF10" s="47"/>
      <c r="CG10" s="47"/>
      <c r="CH10" s="47"/>
      <c r="CI10" s="47"/>
      <c r="CJ10" s="47"/>
      <c r="CK10" s="14" t="s">
        <v>300</v>
      </c>
      <c r="CL10" s="50">
        <f>IF(COUNTIF(Certificate!$G$23:$G$25,CK10)&gt;=1,"",ROW())</f>
        <v>10</v>
      </c>
      <c r="CM10" s="47" t="str">
        <f t="shared" si="5"/>
        <v>Unit 23 - Realising Mask Design for Performance</v>
      </c>
      <c r="CN10" s="47"/>
      <c r="CO10" s="97" t="s">
        <v>328</v>
      </c>
      <c r="CP10" s="50">
        <f>IF(COUNTIF(Diploma!list1,CO10)&gt;=1,"",ROW())</f>
        <v>10</v>
      </c>
      <c r="CQ10" s="49" t="str">
        <f t="shared" si="39"/>
        <v>Unit 27 - Supporting Performance: Front of House</v>
      </c>
      <c r="CR10" s="47"/>
      <c r="CS10" s="14"/>
      <c r="CT10" s="50"/>
      <c r="CU10" s="47"/>
      <c r="CV10" s="47"/>
      <c r="CW10" s="23"/>
      <c r="CX10" s="47"/>
      <c r="CY10" s="49"/>
      <c r="CZ10" s="47"/>
      <c r="DB10" s="47"/>
      <c r="DC10" s="49"/>
      <c r="DD10" s="47"/>
      <c r="DE10" s="47" t="s">
        <v>423</v>
      </c>
      <c r="DF10" s="47">
        <f>IF(COUNTIF('Extended Certificate'!$G$31:$G$37,DE10)&gt;=1,"",ROW())</f>
        <v>10</v>
      </c>
      <c r="DG10" s="49" t="str">
        <f t="shared" si="43"/>
        <v xml:space="preserve">Unit 17 - Digital Audio Mixing </v>
      </c>
      <c r="DH10" s="47"/>
      <c r="DI10" s="120" t="s">
        <v>496</v>
      </c>
      <c r="DJ10" s="47">
        <f>IF(COUNTIF(Diploma!list1,DI10)&gt;=1,"",ROW())</f>
        <v>10</v>
      </c>
      <c r="DK10" s="49" t="str">
        <f t="shared" si="44"/>
        <v>Unit 37 - Sustainability in Art and Design Practice</v>
      </c>
      <c r="DL10" s="47"/>
      <c r="DM10" s="120" t="s">
        <v>487</v>
      </c>
      <c r="DN10" s="47">
        <f>IF(COUNTIF(Diploma!list1,DM10)&gt;=1,"",ROW())</f>
        <v>10</v>
      </c>
      <c r="DO10" s="49" t="str">
        <f t="shared" si="45"/>
        <v>Unit 29 - Drawing from Observation</v>
      </c>
      <c r="DP10" s="47"/>
      <c r="DQ10" s="120" t="s">
        <v>492</v>
      </c>
      <c r="DR10" s="47">
        <f>IF(COUNTIF(Diploma!list1,DQ10)&gt;=1,"",ROW())</f>
        <v>10</v>
      </c>
      <c r="DS10" s="49" t="str">
        <f t="shared" si="46"/>
        <v>Unit 33 - Designing for Print and Screen</v>
      </c>
      <c r="DT10" s="47"/>
      <c r="DU10" s="47" t="s">
        <v>414</v>
      </c>
      <c r="DV10" s="47">
        <f>IF(COUNTIF(Diploma!list1,DU10)&gt;=1,"",ROW())</f>
        <v>10</v>
      </c>
      <c r="DW10" s="49" t="str">
        <f t="shared" si="47"/>
        <v>Unit 19 - Digital Art and Design Briefs</v>
      </c>
      <c r="DX10" s="47"/>
      <c r="DY10" s="120" t="s">
        <v>488</v>
      </c>
      <c r="DZ10" s="47">
        <f>IF(COUNTIF(Diploma!list1,DY10)&gt;=1,"",ROW())</f>
        <v>10</v>
      </c>
      <c r="EA10" s="49" t="str">
        <f t="shared" si="48"/>
        <v>Unit 30 - Ceramics</v>
      </c>
      <c r="EB10" s="47"/>
      <c r="EC10" s="120" t="s">
        <v>484</v>
      </c>
      <c r="ED10" s="47">
        <f>IF(COUNTIF(Diploma!list1,EC10)&gt;=1,"",ROW())</f>
        <v>10</v>
      </c>
      <c r="EE10" s="49" t="str">
        <f t="shared" si="49"/>
        <v>Unit 26 - Moving Image Briefs</v>
      </c>
      <c r="EF10" s="47"/>
      <c r="EG10" s="47"/>
      <c r="EH10" s="47"/>
      <c r="EI10" s="47"/>
      <c r="EJ10" s="47"/>
      <c r="EK10" s="47" t="str">
        <f>IF(OR(AF15=1,AF12=1),"",IF(EK21=1,"","Unit 20 - Work Experience in Hospitality"))</f>
        <v>Unit 20 - Work Experience in Hospitality</v>
      </c>
      <c r="EL10">
        <f t="shared" si="6"/>
        <v>10</v>
      </c>
      <c r="EM10" s="49" t="str">
        <f t="shared" si="50"/>
        <v>Unit 20 - Work Experience in Hospitality</v>
      </c>
      <c r="EN10" s="47"/>
      <c r="EO10" s="47" t="s">
        <v>455</v>
      </c>
      <c r="EP10" s="47">
        <f t="shared" si="7"/>
        <v>10</v>
      </c>
      <c r="EQ10" s="49" t="str">
        <f t="shared" si="51"/>
        <v>Unit 21 - Music Arrangement</v>
      </c>
      <c r="ES10" s="14" t="s">
        <v>404</v>
      </c>
      <c r="ET10" s="47">
        <f>IF(COUNTIF('Extended Certificate'!$G$21:$G$29,ES10)&gt;=1,"",ROW())</f>
        <v>10</v>
      </c>
      <c r="EU10" s="49" t="str">
        <f t="shared" si="52"/>
        <v xml:space="preserve">Unit 17 - Understanding Human Behaviour </v>
      </c>
      <c r="EW10" t="s">
        <v>466</v>
      </c>
      <c r="EX10" s="47">
        <f>IF(COUNTIF('Extended Certificate'!$G$21:$G$29,EW10)&gt;=1,"",ROW())</f>
        <v>10</v>
      </c>
      <c r="EY10" s="49" t="str">
        <f t="shared" si="53"/>
        <v>Unit 13 - Volunteering for the Public Services</v>
      </c>
      <c r="FA10" s="33" t="s">
        <v>515</v>
      </c>
      <c r="FB10">
        <f t="shared" si="8"/>
        <v>10</v>
      </c>
      <c r="FC10" s="49" t="str">
        <f t="shared" si="54"/>
        <v>Unit 31 - Managing Personal Finances</v>
      </c>
      <c r="FE10" s="23" t="str">
        <f>IF(OR(P20=1,P23=1,P26=1,P29=1,P32=1),"","Unit 15 - Exploring Plastering and Dry Lining Principles and Techniques")</f>
        <v>Unit 15 - Exploring Plastering and Dry Lining Principles and Techniques</v>
      </c>
      <c r="FF10">
        <f t="shared" si="9"/>
        <v>10</v>
      </c>
      <c r="FG10" s="123" t="str">
        <f t="shared" si="55"/>
        <v>Unit 15 - Exploring Plastering and Dry Lining Principles and Techniques</v>
      </c>
      <c r="FQ10" s="47" t="s">
        <v>430</v>
      </c>
      <c r="FR10">
        <f t="shared" si="11"/>
        <v>10</v>
      </c>
      <c r="FS10" s="123" t="str">
        <f t="shared" si="58"/>
        <v>Unit 20 - Sustainable Vehicle Power and Structure Design</v>
      </c>
      <c r="GC10" s="23" t="s">
        <v>145</v>
      </c>
      <c r="GD10" s="47">
        <f>IF(COUNTIF(Diploma!list1,GC10)&gt;=1,"",ROW())</f>
        <v>10</v>
      </c>
      <c r="GE10" s="49" t="str">
        <f t="shared" si="61"/>
        <v>Unit 13 - Website Development</v>
      </c>
      <c r="GG10" s="23" t="s">
        <v>145</v>
      </c>
      <c r="GH10" s="47">
        <f>IF(COUNTIF(Diploma!list1,GG10)&gt;=1,"",ROW())</f>
        <v>10</v>
      </c>
      <c r="GI10" s="49" t="str">
        <f t="shared" si="62"/>
        <v>Unit 13 - Website Development</v>
      </c>
      <c r="GS10" s="102" t="s">
        <v>626</v>
      </c>
      <c r="GT10" s="47">
        <f t="shared" si="15"/>
        <v>10</v>
      </c>
      <c r="GU10" s="49" t="str">
        <f t="shared" si="65"/>
        <v>Unit 23 - Sport Community Volunteering</v>
      </c>
      <c r="HA10" s="23" t="s">
        <v>625</v>
      </c>
      <c r="HB10" s="47">
        <f t="shared" si="16"/>
        <v>10</v>
      </c>
      <c r="HC10" s="49" t="str">
        <f t="shared" si="67"/>
        <v>Unit 16 - The Provision of Sport and Active Leisure</v>
      </c>
      <c r="HM10" s="92" t="s">
        <v>639</v>
      </c>
      <c r="HN10" s="47">
        <f t="shared" si="18"/>
        <v>10</v>
      </c>
      <c r="HO10" s="49" t="str">
        <f t="shared" si="69"/>
        <v>Unit 21 - Overseas Holiday Operations</v>
      </c>
      <c r="IK10" s="120" t="s">
        <v>547</v>
      </c>
      <c r="IL10" s="47">
        <f t="shared" si="21"/>
        <v>10</v>
      </c>
      <c r="IM10" s="49" t="str">
        <f t="shared" si="74"/>
        <v>Unit 28 - Fabrication Techniques</v>
      </c>
      <c r="IS10" s="120" t="s">
        <v>550</v>
      </c>
      <c r="IT10" s="47">
        <f t="shared" si="22"/>
        <v>10</v>
      </c>
      <c r="IU10" s="49" t="str">
        <f t="shared" si="76"/>
        <v>Unit 31 - Production Planning for Engineering</v>
      </c>
    </row>
    <row r="11" spans="1:255" ht="15" customHeight="1">
      <c r="A11" s="47" t="s">
        <v>295</v>
      </c>
      <c r="B11" s="47">
        <f>IF(COUNTIF(Diploma!list1,A11)&gt;=1,"",ROW())</f>
        <v>11</v>
      </c>
      <c r="C11" s="47" t="str">
        <f t="shared" si="23"/>
        <v>Unit 15 - Designing for the Future</v>
      </c>
      <c r="E11" s="33" t="s">
        <v>512</v>
      </c>
      <c r="F11" s="47">
        <f>IF(COUNTIF(Diploma!list1,E11)&gt;=1,"",ROW())</f>
        <v>11</v>
      </c>
      <c r="G11" s="49" t="str">
        <f t="shared" si="24"/>
        <v>Unit 28 - Principles of Procurement and Supply</v>
      </c>
      <c r="I11" s="47"/>
      <c r="J11" s="47"/>
      <c r="K11" s="47"/>
      <c r="L11" s="47"/>
      <c r="N11" s="47"/>
      <c r="O11" s="49"/>
      <c r="P11" s="47"/>
      <c r="Q11" s="47"/>
      <c r="R11" s="47"/>
      <c r="S11" s="47"/>
      <c r="T11" s="47"/>
      <c r="V11" s="47"/>
      <c r="W11" s="49"/>
      <c r="X11" s="47"/>
      <c r="Z11" s="47"/>
      <c r="AA11" s="49"/>
      <c r="AB11" s="47"/>
      <c r="AC11" s="47" t="s">
        <v>161</v>
      </c>
      <c r="AD11" s="47"/>
      <c r="AE11" s="47" t="s">
        <v>665</v>
      </c>
      <c r="AF11" s="47" t="s">
        <v>673</v>
      </c>
      <c r="AG11" s="47"/>
      <c r="AH11" s="47"/>
      <c r="AI11" s="47"/>
      <c r="AJ11" s="47"/>
      <c r="AK11" s="23" t="s">
        <v>591</v>
      </c>
      <c r="AL11" s="47">
        <f>IF(COUNTIF(Diploma!list1,AK11)&gt;=1,"",ROW())</f>
        <v>11</v>
      </c>
      <c r="AM11" s="49" t="str">
        <f t="shared" si="30"/>
        <v>Unit 23 - Computer Systems Support in Practice</v>
      </c>
      <c r="AN11" s="47"/>
      <c r="AR11" s="47"/>
      <c r="AS11" s="47"/>
      <c r="AT11" s="47"/>
      <c r="AU11" s="47"/>
      <c r="AV11" s="47"/>
      <c r="AW11" s="14" t="s">
        <v>269</v>
      </c>
      <c r="AX11" s="50">
        <f t="shared" si="0"/>
        <v>11</v>
      </c>
      <c r="AY11" s="49" t="str">
        <f t="shared" si="33"/>
        <v>Unit 19 - Design Planning for Performance</v>
      </c>
      <c r="AZ11" s="47"/>
      <c r="BA11" s="14" t="s">
        <v>276</v>
      </c>
      <c r="BB11" s="50">
        <f>IF(COUNTIF(Certificate!$G$23:$G$25,BA11)&gt;=1,"",ROW())</f>
        <v>11</v>
      </c>
      <c r="BC11" s="49" t="str">
        <f t="shared" si="1"/>
        <v>Unit 18 - Jazz Dance Techniques</v>
      </c>
      <c r="BD11" s="47"/>
      <c r="BE11" s="33" t="s">
        <v>619</v>
      </c>
      <c r="BF11" s="50">
        <f>IF(COUNTIF(Diploma!list1,BE11)&gt;=1,"",ROW())</f>
        <v>11</v>
      </c>
      <c r="BG11" s="49" t="str">
        <f t="shared" si="34"/>
        <v>Unit 40 - Singing Skills in the Performing Arts</v>
      </c>
      <c r="BH11" s="47"/>
      <c r="BM11" s="47"/>
      <c r="BN11" s="47"/>
      <c r="BO11" s="47"/>
      <c r="BP11" s="47"/>
      <c r="BQ11" s="14"/>
      <c r="BR11" s="50"/>
      <c r="BS11" s="49"/>
      <c r="BT11" s="47"/>
      <c r="BU11" s="33" t="s">
        <v>616</v>
      </c>
      <c r="BV11" s="50">
        <f>IF(COUNTIF(Diploma!list1,BU11)&gt;=1,"",ROW())</f>
        <v>11</v>
      </c>
      <c r="BW11" s="49" t="str">
        <f t="shared" si="36"/>
        <v>Unit 36 - Variety Performance</v>
      </c>
      <c r="BX11" s="47"/>
      <c r="CB11" s="47"/>
      <c r="CC11" s="47"/>
      <c r="CD11" s="47"/>
      <c r="CE11" s="47"/>
      <c r="CF11" s="47"/>
      <c r="CG11" s="47"/>
      <c r="CH11" s="47"/>
      <c r="CI11" s="47"/>
      <c r="CJ11" s="47"/>
      <c r="CK11" s="14" t="s">
        <v>307</v>
      </c>
      <c r="CL11" s="50">
        <f>IF(COUNTIF(Certificate!$G$23:$G$25,CK11)&gt;=1,"",ROW())</f>
        <v>11</v>
      </c>
      <c r="CM11" s="47" t="str">
        <f t="shared" si="5"/>
        <v>Unit 24 - Lighting for Performance</v>
      </c>
      <c r="CN11" s="47"/>
      <c r="CO11" s="97" t="s">
        <v>317</v>
      </c>
      <c r="CP11" s="50">
        <f>IF(COUNTIF(Diploma!list1,CO11)&gt;=1,"",ROW())</f>
        <v>11</v>
      </c>
      <c r="CQ11" s="49" t="str">
        <f t="shared" si="39"/>
        <v>Unit 28 - Make-up for Performance</v>
      </c>
      <c r="CR11" s="47"/>
      <c r="CS11" s="47"/>
      <c r="CT11" s="47"/>
      <c r="CU11" s="47"/>
      <c r="CV11" s="47"/>
      <c r="CW11" s="47"/>
      <c r="CX11" s="47"/>
      <c r="CY11" s="49"/>
      <c r="CZ11" s="47"/>
      <c r="DB11" s="47"/>
      <c r="DC11" s="49"/>
      <c r="DD11" s="47"/>
      <c r="DE11" s="47" t="s">
        <v>424</v>
      </c>
      <c r="DF11" s="47">
        <f>IF(COUNTIF('Extended Certificate'!$G$31:$G$37,DE11)&gt;=1,"",ROW())</f>
        <v>11</v>
      </c>
      <c r="DG11" s="49" t="str">
        <f>IF(ROW(DE11)-ROW(DE$2)+1&gt;COUNT(DF$2:DF$11),"",INDEX(DE:DE,SMALL(DF$2:DF$11,1+ROW(DE11)-ROW(DE$2))))</f>
        <v xml:space="preserve">Unit 18 - Lighting for Moving Image  </v>
      </c>
      <c r="DH11" s="47"/>
      <c r="DI11" s="120" t="s">
        <v>498</v>
      </c>
      <c r="DJ11" s="47">
        <f>IF(COUNTIF(Diploma!list1,DI11)&gt;=1,"",ROW())</f>
        <v>11</v>
      </c>
      <c r="DK11" s="49" t="str">
        <f t="shared" si="44"/>
        <v>Unit 39 - Modelmaking</v>
      </c>
      <c r="DL11" s="47"/>
      <c r="DM11" s="120" t="s">
        <v>492</v>
      </c>
      <c r="DN11" s="47">
        <f>IF(COUNTIF(Diploma!list1,DM11)&gt;=1,"",ROW())</f>
        <v>11</v>
      </c>
      <c r="DO11" s="49" t="str">
        <f t="shared" si="45"/>
        <v>Unit 33 - Designing for Print and Screen</v>
      </c>
      <c r="DP11" s="47"/>
      <c r="DQ11" s="120" t="s">
        <v>493</v>
      </c>
      <c r="DR11" s="47">
        <f>IF(COUNTIF(Diploma!list1,DQ11)&gt;=1,"",ROW())</f>
        <v>11</v>
      </c>
      <c r="DS11" s="49" t="str">
        <f t="shared" si="46"/>
        <v>Unit 34 - Editing Photographic Images</v>
      </c>
      <c r="DT11" s="47"/>
      <c r="DU11" s="92" t="s">
        <v>445</v>
      </c>
      <c r="DV11" s="47">
        <f>IF(COUNTIF(Diploma!list1,DU11)&gt;=1,"",ROW())</f>
        <v>11</v>
      </c>
      <c r="DW11" s="49" t="str">
        <f t="shared" si="47"/>
        <v>Unit 20 - Interactive Media Production Briefs</v>
      </c>
      <c r="DX11" s="47"/>
      <c r="DY11" s="120" t="s">
        <v>496</v>
      </c>
      <c r="DZ11" s="47">
        <f>IF(COUNTIF(Diploma!list1,DY11)&gt;=1,"",ROW())</f>
        <v>11</v>
      </c>
      <c r="EA11" s="49" t="str">
        <f t="shared" si="48"/>
        <v>Unit 37 - Sustainability in Art and Design Practice</v>
      </c>
      <c r="EB11" s="47"/>
      <c r="EC11" s="120" t="s">
        <v>485</v>
      </c>
      <c r="ED11" s="47">
        <f>IF(COUNTIF(Diploma!list1,EC11)&gt;=1,"",ROW())</f>
        <v>11</v>
      </c>
      <c r="EE11" s="49" t="str">
        <f t="shared" si="49"/>
        <v>Unit 27 - Interaction Design</v>
      </c>
      <c r="EF11" s="47"/>
      <c r="EG11" s="47"/>
      <c r="EH11" s="47"/>
      <c r="EI11" s="47"/>
      <c r="EJ11" s="47"/>
      <c r="EK11" s="47" t="str">
        <f>IF(OR(AF15=1,AF12=1),"",IF(EK18=1,"","Unit 21 - Hospitality Community Volunteering"))</f>
        <v>Unit 21 - Hospitality Community Volunteering</v>
      </c>
      <c r="EL11">
        <f t="shared" si="6"/>
        <v>11</v>
      </c>
      <c r="EM11" s="49" t="str">
        <f t="shared" si="50"/>
        <v>Unit 21 - Hospitality Community Volunteering</v>
      </c>
      <c r="EN11" s="47"/>
      <c r="EO11" s="47" t="s">
        <v>456</v>
      </c>
      <c r="EP11" s="47">
        <f t="shared" si="7"/>
        <v>11</v>
      </c>
      <c r="EQ11" s="49" t="str">
        <f t="shared" si="51"/>
        <v>Unit 22 - Exploring Music Improvisation</v>
      </c>
      <c r="ES11" s="14" t="s">
        <v>405</v>
      </c>
      <c r="ET11" s="47">
        <f>IF(COUNTIF('Extended Certificate'!$G$21:$G$29,ES11)&gt;=1,"",ROW())</f>
        <v>11</v>
      </c>
      <c r="EU11" s="49" t="str">
        <f t="shared" si="52"/>
        <v>Unit 18 - Designing and Making Useful Devices in Science</v>
      </c>
      <c r="EW11" t="s">
        <v>467</v>
      </c>
      <c r="EX11" s="47">
        <f>IF(COUNTIF('Extended Certificate'!$G$21:$G$29,EW11)&gt;=1,"",ROW())</f>
        <v>11</v>
      </c>
      <c r="EY11" s="49" t="str">
        <f t="shared" si="53"/>
        <v>Unit 14 - Multi-day Expedition Experience</v>
      </c>
      <c r="FA11" s="33" t="s">
        <v>516</v>
      </c>
      <c r="FB11">
        <f t="shared" si="8"/>
        <v>11</v>
      </c>
      <c r="FC11" s="49" t="str">
        <f t="shared" si="54"/>
        <v>Unit 32 - Sustainability in the Business Workplace</v>
      </c>
      <c r="FE11" s="33" t="str">
        <f>IF(OR(P20=1,P23=1,P26=1,P29=1,P32=1),"","Unit 19 - Plumbing Operations")</f>
        <v>Unit 19 - Plumbing Operations</v>
      </c>
      <c r="FF11">
        <f t="shared" si="9"/>
        <v>11</v>
      </c>
      <c r="FG11" s="123" t="str">
        <f t="shared" si="55"/>
        <v>Unit 19 - Plumbing Operations</v>
      </c>
      <c r="FQ11" s="128" t="s">
        <v>541</v>
      </c>
      <c r="FR11">
        <f t="shared" si="11"/>
        <v>11</v>
      </c>
      <c r="FS11" s="123" t="str">
        <f t="shared" si="58"/>
        <v>Unit 22 - Continuous Improvement and Problem-Solving</v>
      </c>
      <c r="GC11" s="23" t="s">
        <v>323</v>
      </c>
      <c r="GD11" s="47">
        <f>IF(COUNTIF(Diploma!list1,GC11)&gt;=1,"",ROW())</f>
        <v>11</v>
      </c>
      <c r="GE11" s="49" t="str">
        <f t="shared" si="61"/>
        <v>Unit 14 - Installing and Maintaining Computer Hardware</v>
      </c>
      <c r="GG11" s="23" t="s">
        <v>323</v>
      </c>
      <c r="GH11" s="47">
        <f>IF(COUNTIF(Diploma!list1,GG11)&gt;=1,"",ROW())</f>
        <v>11</v>
      </c>
      <c r="GI11" s="49" t="str">
        <f t="shared" si="62"/>
        <v>Unit 14 - Installing and Maintaining Computer Hardware</v>
      </c>
      <c r="HA11" s="23" t="s">
        <v>627</v>
      </c>
      <c r="HB11" s="47">
        <f t="shared" si="16"/>
        <v>11</v>
      </c>
      <c r="HC11" s="49" t="str">
        <f t="shared" si="67"/>
        <v>Unit 17 - Facility Operations for Sport and Leisure</v>
      </c>
      <c r="IK11" s="120" t="s">
        <v>548</v>
      </c>
      <c r="IL11" s="47">
        <f t="shared" si="21"/>
        <v>11</v>
      </c>
      <c r="IM11" s="49" t="str">
        <f t="shared" si="74"/>
        <v>Unit 29 - Casting Techniques</v>
      </c>
      <c r="IS11" s="120" t="s">
        <v>551</v>
      </c>
      <c r="IT11" s="47">
        <f t="shared" si="22"/>
        <v>11</v>
      </c>
      <c r="IU11" s="49" t="str">
        <f t="shared" si="76"/>
        <v>Unit 32 - Engineering Marking Out</v>
      </c>
    </row>
    <row r="12" spans="1:255" ht="14.25" customHeight="1">
      <c r="A12" s="92" t="s">
        <v>412</v>
      </c>
      <c r="B12" s="47">
        <f>IF(COUNTIF(Diploma!list1,A12)&gt;=1,"",ROW())</f>
        <v>12</v>
      </c>
      <c r="C12" s="47" t="str">
        <f t="shared" si="23"/>
        <v>Unit 16 - Applying Contextual References in Art and Design</v>
      </c>
      <c r="E12" s="33" t="s">
        <v>513</v>
      </c>
      <c r="F12" s="47">
        <f>IF(COUNTIF(Diploma!list1,E12)&gt;=1,"",ROW())</f>
        <v>12</v>
      </c>
      <c r="G12" s="49" t="str">
        <f t="shared" si="24"/>
        <v>Unit 29 - Implementing Procurement and Supply in Business</v>
      </c>
      <c r="I12" s="47"/>
      <c r="J12" s="47"/>
      <c r="K12" s="47"/>
      <c r="L12" s="47"/>
      <c r="N12" s="47"/>
      <c r="O12" s="49"/>
      <c r="P12" s="47"/>
      <c r="Q12" s="47"/>
      <c r="R12" s="47"/>
      <c r="S12" s="47"/>
      <c r="T12" s="47"/>
      <c r="V12" s="47"/>
      <c r="W12" s="49"/>
      <c r="X12" s="47"/>
      <c r="Y12" s="47" t="s">
        <v>665</v>
      </c>
      <c r="Z12" s="47"/>
      <c r="AA12" s="47"/>
      <c r="AB12" s="47"/>
      <c r="AC12">
        <f>COUNTIF(Diploma!$G$23:$G$31, "Unit 4 - Costing and Controlling Finances in the Hospitality Industry")</f>
        <v>0</v>
      </c>
      <c r="AD12" s="47"/>
      <c r="AE12">
        <f>COUNTIF(Diploma!$G$33:$G$40, "Unit 16 - Managing Finance in Hospitality")</f>
        <v>0</v>
      </c>
      <c r="AF12" s="47">
        <f>IF(AND(AC12=0,AE12=1),1,0)</f>
        <v>0</v>
      </c>
      <c r="AG12" s="47"/>
      <c r="AH12" s="47"/>
      <c r="AI12" s="47"/>
      <c r="AJ12" s="47"/>
      <c r="AK12" s="23" t="s">
        <v>588</v>
      </c>
      <c r="AL12" s="47">
        <f>IF(COUNTIF(Diploma!list1,AK12)&gt;=1,"",ROW())</f>
        <v>12</v>
      </c>
      <c r="AM12" s="49" t="str">
        <f t="shared" si="30"/>
        <v>Unit 24 - Software Systems Development</v>
      </c>
      <c r="AN12" s="47"/>
      <c r="AR12" s="47"/>
      <c r="AS12" s="47"/>
      <c r="AT12" s="47"/>
      <c r="AU12" s="47"/>
      <c r="AV12" s="47"/>
      <c r="AW12" s="14" t="s">
        <v>277</v>
      </c>
      <c r="AX12" s="50">
        <f t="shared" si="0"/>
        <v>12</v>
      </c>
      <c r="AY12" s="49" t="str">
        <f t="shared" si="33"/>
        <v>Unit 20 - Realising Costume Design for Performance</v>
      </c>
      <c r="AZ12" s="47"/>
      <c r="BA12" s="14" t="s">
        <v>269</v>
      </c>
      <c r="BB12" s="50">
        <f>IF(COUNTIF(Certificate!$G$23:$G$25,BA12)&gt;=1,"",ROW())</f>
        <v>12</v>
      </c>
      <c r="BC12" s="49" t="str">
        <f t="shared" si="1"/>
        <v>Unit 19 - Design Planning for Performance</v>
      </c>
      <c r="BD12" s="47"/>
      <c r="BE12" s="47"/>
      <c r="BF12" s="47"/>
      <c r="BG12" s="47"/>
      <c r="BH12" s="47"/>
      <c r="BM12" s="47"/>
      <c r="BN12" s="47"/>
      <c r="BO12" s="47"/>
      <c r="BP12" s="47"/>
      <c r="BQ12" s="14"/>
      <c r="BR12" s="50"/>
      <c r="BS12" s="49"/>
      <c r="BT12" s="47"/>
      <c r="BU12" s="33" t="s">
        <v>619</v>
      </c>
      <c r="BV12" s="50">
        <f>IF(COUNTIF(Diploma!list1,BU12)&gt;=1,"",ROW())</f>
        <v>12</v>
      </c>
      <c r="BW12" s="49" t="str">
        <f>IF(ROW(BU12)-ROW(BU$2)+1&gt;COUNT(BV$2:BV$12),"",INDEX(BU:BU,SMALL(BV$2:BV$12,1+ROW(BU12)-ROW(BU$2))))</f>
        <v>Unit 40 - Singing Skills in the Performing Arts</v>
      </c>
      <c r="BX12" s="47"/>
      <c r="CB12" s="47"/>
      <c r="CC12" s="47"/>
      <c r="CD12" s="47"/>
      <c r="CE12" s="47"/>
      <c r="CF12" s="47"/>
      <c r="CG12" s="47"/>
      <c r="CH12" s="47"/>
      <c r="CI12" s="47"/>
      <c r="CJ12" s="47"/>
      <c r="CK12" s="14" t="s">
        <v>312</v>
      </c>
      <c r="CL12" s="50">
        <f>IF(COUNTIF(Certificate!$G$23:$G$25,CK12)&gt;=1,"",ROW())</f>
        <v>12</v>
      </c>
      <c r="CM12" s="47" t="str">
        <f t="shared" si="5"/>
        <v>Unit 25 - Sound for Performance</v>
      </c>
      <c r="CN12" s="47"/>
      <c r="CO12" s="97" t="s">
        <v>321</v>
      </c>
      <c r="CP12" s="50">
        <f>IF(COUNTIF(Diploma!list1,CO12)&gt;=1,"",ROW())</f>
        <v>12</v>
      </c>
      <c r="CQ12" s="49" t="str">
        <f t="shared" si="39"/>
        <v>Unit 29 - Wardrobe for Stage Performance</v>
      </c>
      <c r="CR12" s="47"/>
      <c r="CS12" s="47"/>
      <c r="CT12" s="47"/>
      <c r="CU12" s="47"/>
      <c r="CV12" s="47"/>
      <c r="CW12" s="47"/>
      <c r="CX12" s="47"/>
      <c r="CY12" s="47"/>
      <c r="CZ12" s="47"/>
      <c r="DB12" s="47"/>
      <c r="DC12" s="49"/>
      <c r="DD12" s="47"/>
      <c r="DE12" s="47"/>
      <c r="DF12" s="47"/>
      <c r="DG12" s="47"/>
      <c r="DH12" s="47"/>
      <c r="DI12" s="120" t="s">
        <v>489</v>
      </c>
      <c r="DJ12" s="47">
        <f>IF(COUNTIF(Diploma!list1,DI12)&gt;=1,"",ROW())</f>
        <v>12</v>
      </c>
      <c r="DK12" s="49" t="str">
        <f t="shared" si="44"/>
        <v>Unit 40 - Sculpture</v>
      </c>
      <c r="DL12" s="47"/>
      <c r="DM12" s="120" t="s">
        <v>494</v>
      </c>
      <c r="DN12" s="47">
        <f>IF(COUNTIF(Diploma!list1,DM12)&gt;=1,"",ROW())</f>
        <v>12</v>
      </c>
      <c r="DO12" s="49" t="str">
        <f t="shared" si="45"/>
        <v>Unit 35 - Fashion Retail</v>
      </c>
      <c r="DP12" s="47"/>
      <c r="DQ12" s="120" t="s">
        <v>496</v>
      </c>
      <c r="DR12" s="47">
        <f>IF(COUNTIF(Diploma!list1,DQ12)&gt;=1,"",ROW())</f>
        <v>12</v>
      </c>
      <c r="DS12" s="49" t="str">
        <f t="shared" si="46"/>
        <v>Unit 37 - Sustainability in Art and Design Practice</v>
      </c>
      <c r="DT12" s="47"/>
      <c r="DU12" s="54" t="str">
        <f>IF(DU24=1,"","Unit 22 - Designing Products")</f>
        <v>Unit 22 - Designing Products</v>
      </c>
      <c r="DV12" s="47">
        <f>IF(COUNTIF(Diploma!list1,DU12)&gt;=1,"",ROW())</f>
        <v>12</v>
      </c>
      <c r="DW12" s="49" t="str">
        <f t="shared" si="47"/>
        <v>Unit 22 - Designing Products</v>
      </c>
      <c r="DX12" s="47"/>
      <c r="DY12" s="120" t="s">
        <v>498</v>
      </c>
      <c r="DZ12" s="47">
        <f>IF(COUNTIF(Diploma!list1,DY12)&gt;=1,"",ROW())</f>
        <v>12</v>
      </c>
      <c r="EA12" s="49" t="str">
        <f t="shared" si="48"/>
        <v>Unit 39 - Modelmaking</v>
      </c>
      <c r="EB12" s="47"/>
      <c r="EC12" s="120" t="s">
        <v>492</v>
      </c>
      <c r="ED12" s="47">
        <f>IF(COUNTIF(Diploma!list1,EC12)&gt;=1,"",ROW())</f>
        <v>12</v>
      </c>
      <c r="EE12" s="49" t="str">
        <f t="shared" si="49"/>
        <v>Unit 33 - Designing for Print and Screen</v>
      </c>
      <c r="EF12" s="47"/>
      <c r="EG12" s="47"/>
      <c r="EH12" s="47"/>
      <c r="EI12" s="47"/>
      <c r="EJ12" s="47"/>
      <c r="EK12" s="47" t="str">
        <f>IF(OR(AF15=1,AF12=1),"","Unit 22 - Sales and Merchandising in Hospitality")</f>
        <v>Unit 22 - Sales and Merchandising in Hospitality</v>
      </c>
      <c r="EL12">
        <f t="shared" si="6"/>
        <v>12</v>
      </c>
      <c r="EM12" s="49" t="str">
        <f t="shared" si="50"/>
        <v>Unit 22 - Sales and Merchandising in Hospitality</v>
      </c>
      <c r="EN12" s="47"/>
      <c r="EO12" s="47" t="s">
        <v>457</v>
      </c>
      <c r="EP12" s="47">
        <f t="shared" si="7"/>
        <v>12</v>
      </c>
      <c r="EQ12" s="49" t="str">
        <f t="shared" si="51"/>
        <v>Unit 23 - Exploring Djing</v>
      </c>
      <c r="ES12" s="14" t="s">
        <v>406</v>
      </c>
      <c r="ET12" s="47">
        <f>IF(COUNTIF('Extended Certificate'!$G$21:$G$29,ES12)&gt;=1,"",ROW())</f>
        <v>12</v>
      </c>
      <c r="EU12" s="49" t="str">
        <f t="shared" si="52"/>
        <v xml:space="preserve">Unit 19 - Chemical Analysis and Detection </v>
      </c>
      <c r="EW12" t="s">
        <v>468</v>
      </c>
      <c r="EX12" s="47">
        <f>IF(COUNTIF('Extended Certificate'!$G$21:$G$29,EW12)&gt;=1,"",ROW())</f>
        <v>12</v>
      </c>
      <c r="EY12" s="49" t="str">
        <f t="shared" si="53"/>
        <v>Unit 15 - Health and Safety in the Public Services</v>
      </c>
      <c r="FE12" s="33" t="str">
        <f>IF(OR(P20=1,P23=1,P26=1,P29=1,P32=1),"","Unit 20 - Electrical Operations")</f>
        <v>Unit 20 - Electrical Operations</v>
      </c>
      <c r="FF12">
        <f t="shared" si="9"/>
        <v>12</v>
      </c>
      <c r="FG12" s="123" t="str">
        <f t="shared" si="55"/>
        <v>Unit 20 - Electrical Operations</v>
      </c>
      <c r="FQ12" s="128" t="s">
        <v>542</v>
      </c>
      <c r="FR12">
        <f t="shared" si="11"/>
        <v>12</v>
      </c>
      <c r="FS12" s="123" t="str">
        <f t="shared" si="58"/>
        <v>Unit 23 - Electronic Devices and Communication Applications</v>
      </c>
      <c r="GC12" s="23" t="s">
        <v>324</v>
      </c>
      <c r="GD12" s="47">
        <f>IF(COUNTIF(Diploma!list1,GC12)&gt;=1,"",ROW())</f>
        <v>12</v>
      </c>
      <c r="GE12" s="49" t="str">
        <f t="shared" si="61"/>
        <v>Unit 15 - Installing and Maintaining Computer Software</v>
      </c>
      <c r="GG12" s="23" t="s">
        <v>324</v>
      </c>
      <c r="GH12" s="47">
        <f>IF(COUNTIF(Diploma!list1,GG12)&gt;=1,"",ROW())</f>
        <v>12</v>
      </c>
      <c r="GI12" s="49" t="str">
        <f t="shared" si="62"/>
        <v>Unit 15 - Installing and Maintaining Computer Software</v>
      </c>
      <c r="HA12" s="23" t="s">
        <v>626</v>
      </c>
      <c r="HB12" s="47">
        <f t="shared" si="16"/>
        <v>12</v>
      </c>
      <c r="HC12" s="49" t="str">
        <f t="shared" si="67"/>
        <v>Unit 23 - Sport Community Volunteering</v>
      </c>
      <c r="IK12" s="120" t="s">
        <v>550</v>
      </c>
      <c r="IL12" s="47">
        <f t="shared" si="21"/>
        <v>12</v>
      </c>
      <c r="IM12" s="49" t="str">
        <f t="shared" si="74"/>
        <v>Unit 31 - Production Planning for Engineering</v>
      </c>
      <c r="IS12" s="130" t="s">
        <v>560</v>
      </c>
      <c r="IT12" s="47">
        <f t="shared" si="22"/>
        <v>12</v>
      </c>
      <c r="IU12" s="49" t="str">
        <f t="shared" si="76"/>
        <v>Unit 35 - Application of Quality Control and Measurement in Engineering</v>
      </c>
    </row>
    <row r="13" spans="1:255" ht="15" customHeight="1">
      <c r="A13" s="92" t="s">
        <v>443</v>
      </c>
      <c r="B13" s="47">
        <f>IF(COUNTIF(Diploma!list1,A13)&gt;=1,"",ROW())</f>
        <v>13</v>
      </c>
      <c r="C13" s="47" t="str">
        <f t="shared" si="23"/>
        <v>Unit 17 - Art, Craft and Design in the Creative Industries</v>
      </c>
      <c r="F13" s="47"/>
      <c r="G13" s="49"/>
      <c r="I13" s="47"/>
      <c r="J13" s="47"/>
      <c r="K13" s="47"/>
      <c r="L13" s="47"/>
      <c r="N13" s="47"/>
      <c r="O13" s="49"/>
      <c r="P13" s="47"/>
      <c r="Q13" s="47"/>
      <c r="R13" s="47"/>
      <c r="S13" s="47"/>
      <c r="T13" s="47"/>
      <c r="V13" s="47"/>
      <c r="W13" s="49"/>
      <c r="X13" s="47"/>
      <c r="Y13">
        <f>COUNTIF(Diploma!$G$23:$G$31, "Unit 16 - Vocational Experience in Health and Social Care")</f>
        <v>0</v>
      </c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L13" s="47"/>
      <c r="AM13" s="49"/>
      <c r="AN13" s="47"/>
      <c r="AR13" s="47"/>
      <c r="AS13" s="47"/>
      <c r="AT13" s="47"/>
      <c r="AU13" s="47"/>
      <c r="AV13" s="47"/>
      <c r="AW13" s="14" t="s">
        <v>285</v>
      </c>
      <c r="AX13" s="50">
        <f t="shared" si="0"/>
        <v>13</v>
      </c>
      <c r="AY13" s="49" t="str">
        <f t="shared" si="33"/>
        <v>Unit 21 - Realising Set Design for Performance</v>
      </c>
      <c r="AZ13" s="47"/>
      <c r="BA13" s="14" t="s">
        <v>277</v>
      </c>
      <c r="BB13" s="50">
        <f>IF(COUNTIF(Certificate!$G$23:$G$25,BA13)&gt;=1,"",ROW())</f>
        <v>13</v>
      </c>
      <c r="BC13" s="49" t="str">
        <f t="shared" si="1"/>
        <v>Unit 20 - Realising Costume Design for Performance</v>
      </c>
      <c r="BD13" s="47"/>
      <c r="BE13" s="47"/>
      <c r="BF13" s="47"/>
      <c r="BG13" s="47"/>
      <c r="BH13" s="47"/>
      <c r="BM13" s="47"/>
      <c r="BN13" s="47"/>
      <c r="BO13" s="47"/>
      <c r="BP13" s="47"/>
      <c r="BQ13" s="14"/>
      <c r="BR13" s="50"/>
      <c r="BS13" s="49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23" t="s">
        <v>317</v>
      </c>
      <c r="CL13" s="50">
        <f>IF(COUNTIF(Certificate!$G$23:$G$25,CK13)&gt;=1,"",ROW())</f>
        <v>13</v>
      </c>
      <c r="CM13" s="47" t="str">
        <f t="shared" si="5"/>
        <v>Unit 28 - Make-up for Performance</v>
      </c>
      <c r="CN13" s="47"/>
      <c r="CO13" s="33" t="s">
        <v>613</v>
      </c>
      <c r="CP13" s="50">
        <f>IF(COUNTIF(Diploma!list1,CO13)&gt;=1,"",ROW())</f>
        <v>13</v>
      </c>
      <c r="CQ13" s="49" t="str">
        <f t="shared" si="39"/>
        <v>Unit 33 - Planning and Managing a Performing Arts Event</v>
      </c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120" t="s">
        <v>495</v>
      </c>
      <c r="DN13" s="47">
        <f>IF(COUNTIF(Diploma!list1,DM13)&gt;=1,"",ROW())</f>
        <v>13</v>
      </c>
      <c r="DO13" s="49" t="str">
        <f t="shared" si="45"/>
        <v>Unit 36 - Surface Design</v>
      </c>
      <c r="DP13" s="47"/>
      <c r="DQ13" s="47"/>
      <c r="DR13" s="47"/>
      <c r="DS13" s="47"/>
      <c r="DT13" s="47"/>
      <c r="DU13" s="120" t="s">
        <v>482</v>
      </c>
      <c r="DV13" s="47">
        <f>IF(COUNTIF(Diploma!list1,DU13)&gt;=1,"",ROW())</f>
        <v>13</v>
      </c>
      <c r="DW13" s="49" t="str">
        <f t="shared" si="47"/>
        <v>Unit 24 - Design Thinking</v>
      </c>
      <c r="DX13" s="47"/>
      <c r="DY13" s="120" t="s">
        <v>489</v>
      </c>
      <c r="DZ13" s="47">
        <f>IF(COUNTIF(Diploma!list1,DY13)&gt;=1,"",ROW())</f>
        <v>13</v>
      </c>
      <c r="EA13" s="49" t="str">
        <f t="shared" si="48"/>
        <v>Unit 40 - Sculpture</v>
      </c>
      <c r="EB13" s="47"/>
      <c r="EC13" s="120" t="s">
        <v>493</v>
      </c>
      <c r="ED13" s="47">
        <f>IF(COUNTIF(Diploma!list1,EC13)&gt;=1,"",ROW())</f>
        <v>13</v>
      </c>
      <c r="EE13" s="49" t="str">
        <f t="shared" si="49"/>
        <v>Unit 34 - Editing Photographic Images</v>
      </c>
      <c r="EF13" s="47"/>
      <c r="EG13" s="47"/>
      <c r="EH13" s="47"/>
      <c r="EI13" s="47"/>
      <c r="EJ13" s="47"/>
      <c r="EK13" s="47" t="str">
        <f>IF(OR(AF15=1,AF12=1),"","Unit 23 - Barista Skills in Hospitality")</f>
        <v>Unit 23 - Barista Skills in Hospitality</v>
      </c>
      <c r="EL13">
        <f t="shared" si="6"/>
        <v>13</v>
      </c>
      <c r="EM13" s="49" t="str">
        <f>IF(ROW(EK13)-ROW(EK$2)+1&gt;COUNT(EL$2:EL$13),"",INDEX(EK:EK,SMALL(EL$2:EL$13,1+ROW(EK13)-ROW(EK$2))))</f>
        <v>Unit 23 - Barista Skills in Hospitality</v>
      </c>
      <c r="EN13" s="47"/>
      <c r="EO13" s="120" t="s">
        <v>599</v>
      </c>
      <c r="EP13" s="47">
        <f t="shared" si="7"/>
        <v>13</v>
      </c>
      <c r="EQ13" s="49" t="str">
        <f t="shared" si="51"/>
        <v>Unit 24 - Music Promotion</v>
      </c>
      <c r="ES13" s="14" t="s">
        <v>407</v>
      </c>
      <c r="ET13" s="47">
        <f>IF(COUNTIF('Extended Certificate'!$G$21:$G$29,ES13)&gt;=1,"",ROW())</f>
        <v>13</v>
      </c>
      <c r="EU13" s="49" t="str">
        <f t="shared" si="52"/>
        <v xml:space="preserve">Unit 20 - Exploring our Universe </v>
      </c>
      <c r="EW13" t="s">
        <v>469</v>
      </c>
      <c r="EX13" s="47">
        <f>IF(COUNTIF('Extended Certificate'!$G$21:$G$29,EW13)&gt;=1,"",ROW())</f>
        <v>13</v>
      </c>
      <c r="EY13" s="49" t="str">
        <f t="shared" si="53"/>
        <v>Unit 16 - Employability Skills in the Public Services</v>
      </c>
      <c r="FE13" s="33" t="str">
        <f>IF(OR(P20=1,P23=1,P26=1,P29=1,P32=1),"","Unit 27 - Construction Work Experience")</f>
        <v>Unit 27 - Construction Work Experience</v>
      </c>
      <c r="FF13">
        <f t="shared" si="9"/>
        <v>13</v>
      </c>
      <c r="FG13" s="123" t="str">
        <f t="shared" si="55"/>
        <v>Unit 27 - Construction Work Experience</v>
      </c>
      <c r="FQ13" s="129" t="s">
        <v>543</v>
      </c>
      <c r="FR13">
        <f t="shared" si="11"/>
        <v>13</v>
      </c>
      <c r="FS13" s="123" t="str">
        <f t="shared" si="58"/>
        <v>Unit 24 - Operation and Maintenance of Mechanical Systems and _x000D_Components</v>
      </c>
      <c r="GC13" s="23" t="s">
        <v>325</v>
      </c>
      <c r="GD13" s="47">
        <f>IF(COUNTIF(Diploma!list1,GC13)&gt;=1,"",ROW())</f>
        <v>13</v>
      </c>
      <c r="GE13" s="49" t="str">
        <f t="shared" si="61"/>
        <v>Unit 16 - Automated Computer Systems</v>
      </c>
      <c r="GG13" s="23" t="s">
        <v>325</v>
      </c>
      <c r="GH13" s="47">
        <f>IF(COUNTIF(Diploma!list1,GG13)&gt;=1,"",ROW())</f>
        <v>13</v>
      </c>
      <c r="GI13" s="49" t="str">
        <f t="shared" si="62"/>
        <v>Unit 16 - Automated Computer Systems</v>
      </c>
      <c r="HA13" s="23" t="s">
        <v>628</v>
      </c>
      <c r="HB13" s="47">
        <f t="shared" si="16"/>
        <v>13</v>
      </c>
      <c r="HC13" s="49" t="str">
        <f t="shared" si="67"/>
        <v>Unit 24 - Work Experience in Sport</v>
      </c>
      <c r="IK13" s="130" t="s">
        <v>560</v>
      </c>
      <c r="IL13" s="47">
        <f t="shared" si="21"/>
        <v>13</v>
      </c>
      <c r="IM13" s="49" t="str">
        <f t="shared" si="74"/>
        <v>Unit 35 - Application of Quality Control and Measurement in Engineering</v>
      </c>
    </row>
    <row r="14" spans="1:255" ht="15" customHeight="1">
      <c r="A14" s="92" t="str">
        <f>IF(A48=1,"","Unit 18 - 3D Design Briefs")</f>
        <v>Unit 18 - 3D Design Briefs</v>
      </c>
      <c r="B14" s="47">
        <f>IF(COUNTIF(Diploma!list1,A14)&gt;=1,"",ROW())</f>
        <v>14</v>
      </c>
      <c r="C14" s="47" t="str">
        <f t="shared" si="23"/>
        <v>Unit 18 - 3D Design Briefs</v>
      </c>
      <c r="F14" s="47"/>
      <c r="G14" s="49"/>
      <c r="I14" s="47"/>
      <c r="J14" s="47"/>
      <c r="K14" s="47"/>
      <c r="L14" s="47"/>
      <c r="N14" s="47"/>
      <c r="O14" s="49"/>
      <c r="P14" s="47"/>
      <c r="Q14" s="47"/>
      <c r="R14" s="47"/>
      <c r="S14" s="47"/>
      <c r="T14" s="47"/>
      <c r="V14" s="47"/>
      <c r="W14" s="49"/>
      <c r="X14" s="47"/>
      <c r="Y14" s="47"/>
      <c r="Z14" s="47"/>
      <c r="AA14" s="47"/>
      <c r="AB14" s="47"/>
      <c r="AC14" s="47" t="s">
        <v>666</v>
      </c>
      <c r="AD14" s="47"/>
      <c r="AE14" s="47" t="s">
        <v>661</v>
      </c>
      <c r="AF14" s="47"/>
      <c r="AG14" s="47"/>
      <c r="AH14" s="47"/>
      <c r="AI14" s="47"/>
      <c r="AJ14" s="47"/>
      <c r="AL14" s="47"/>
      <c r="AM14" s="49"/>
      <c r="AN14" s="47"/>
      <c r="AR14" s="47"/>
      <c r="AS14" s="47"/>
      <c r="AT14" s="47"/>
      <c r="AU14" s="47"/>
      <c r="AV14" s="47"/>
      <c r="AW14" s="14" t="s">
        <v>292</v>
      </c>
      <c r="AX14" s="50">
        <f t="shared" si="0"/>
        <v>14</v>
      </c>
      <c r="AY14" s="49" t="str">
        <f t="shared" si="33"/>
        <v>Unit 22 - Realising Prop Design for Performance</v>
      </c>
      <c r="AZ14" s="47"/>
      <c r="BA14" s="14" t="s">
        <v>285</v>
      </c>
      <c r="BB14" s="50">
        <f>IF(COUNTIF(Certificate!$G$23:$G$25,BA14)&gt;=1,"",ROW())</f>
        <v>14</v>
      </c>
      <c r="BC14" s="49" t="str">
        <f t="shared" si="1"/>
        <v>Unit 21 - Realising Set Design for Performance</v>
      </c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14"/>
      <c r="BR14" s="50"/>
      <c r="BS14" s="49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23" t="s">
        <v>321</v>
      </c>
      <c r="CL14" s="50">
        <f>IF(COUNTIF(Certificate!$G$23:$G$25,CK14)&gt;=1,"",ROW())</f>
        <v>14</v>
      </c>
      <c r="CM14" s="47" t="str">
        <f t="shared" si="5"/>
        <v>Unit 29 - Wardrobe for Stage Performance</v>
      </c>
      <c r="CN14" s="47"/>
      <c r="CO14" s="33" t="s">
        <v>614</v>
      </c>
      <c r="CP14" s="50">
        <f>IF(COUNTIF(Diploma!list1,CO14)&gt;=1,"",ROW())</f>
        <v>14</v>
      </c>
      <c r="CQ14" s="49" t="str">
        <f t="shared" si="39"/>
        <v>Unit 34 - Multimedia Production</v>
      </c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120" t="s">
        <v>496</v>
      </c>
      <c r="DN14" s="47">
        <f>IF(COUNTIF(Diploma!list1,DM14)&gt;=1,"",ROW())</f>
        <v>14</v>
      </c>
      <c r="DO14" s="49" t="str">
        <f t="shared" si="45"/>
        <v>Unit 37 - Sustainability in Art and Design Practice</v>
      </c>
      <c r="DP14" s="47"/>
      <c r="DQ14" s="47"/>
      <c r="DR14" s="47"/>
      <c r="DS14" s="47"/>
      <c r="DT14" s="47"/>
      <c r="DU14" s="120" t="s">
        <v>484</v>
      </c>
      <c r="DV14" s="47">
        <f>IF(COUNTIF(Diploma!list1,DU14)&gt;=1,"",ROW())</f>
        <v>14</v>
      </c>
      <c r="DW14" s="49" t="str">
        <f t="shared" si="47"/>
        <v>Unit 26 - Moving Image Briefs</v>
      </c>
      <c r="DX14" s="47"/>
      <c r="DY14" s="47"/>
      <c r="DZ14" s="47"/>
      <c r="EA14" s="47"/>
      <c r="EB14" s="47"/>
      <c r="EC14" s="120" t="s">
        <v>496</v>
      </c>
      <c r="ED14" s="47">
        <f>IF(COUNTIF(Diploma!list1,EC14)&gt;=1,"",ROW())</f>
        <v>14</v>
      </c>
      <c r="EE14" s="49" t="str">
        <f t="shared" si="49"/>
        <v>Unit 37 - Sustainability in Art and Design Practice</v>
      </c>
      <c r="EF14" s="47"/>
      <c r="EG14" s="47"/>
      <c r="EH14" s="47"/>
      <c r="EI14" s="47"/>
      <c r="EJ14" s="47"/>
      <c r="EK14" s="47"/>
      <c r="EL14" s="47"/>
      <c r="EM14" s="47"/>
      <c r="EN14" s="47"/>
      <c r="EO14" s="120" t="s">
        <v>600</v>
      </c>
      <c r="EP14" s="47">
        <f t="shared" si="7"/>
        <v>14</v>
      </c>
      <c r="EQ14" s="49" t="str">
        <f t="shared" si="51"/>
        <v>Unit 25 - Digital and Mobile Technology for Music</v>
      </c>
      <c r="ES14" s="14" t="s">
        <v>408</v>
      </c>
      <c r="ET14" s="47">
        <f>IF(COUNTIF('Extended Certificate'!$G$21:$G$29,ES14)&gt;=1,"",ROW())</f>
        <v>14</v>
      </c>
      <c r="EU14" s="49" t="str">
        <f t="shared" si="52"/>
        <v>Unit 21 - Electronics in Action</v>
      </c>
      <c r="EW14" t="s">
        <v>470</v>
      </c>
      <c r="EX14" s="47">
        <f>IF(COUNTIF('Extended Certificate'!$G$21:$G$29,EW14)&gt;=1,"",ROW())</f>
        <v>14</v>
      </c>
      <c r="EY14" s="49" t="str">
        <f t="shared" si="53"/>
        <v>Unit 17 - Preparing to Respond to Emergency Incidents</v>
      </c>
      <c r="FE14" s="122" t="str">
        <f>IF(OR(P20=1,P23=1,P26=1,P29=1,P32=1),"","Unit 28 - Communications for Construction and the Built Environment")</f>
        <v>Unit 28 - Communications for Construction and the Built Environment</v>
      </c>
      <c r="FF14">
        <f t="shared" si="9"/>
        <v>14</v>
      </c>
      <c r="FG14" s="123" t="str">
        <f t="shared" si="55"/>
        <v>Unit 28 - Communications for Construction and the Built Environment</v>
      </c>
      <c r="FQ14" s="129" t="s">
        <v>544</v>
      </c>
      <c r="FR14">
        <f t="shared" si="11"/>
        <v>14</v>
      </c>
      <c r="FS14" s="123" t="str">
        <f t="shared" si="58"/>
        <v>Unit 25 - Operation and Maintenance of Electronic Systems and _x000D_Components</v>
      </c>
      <c r="GC14" s="23" t="s">
        <v>592</v>
      </c>
      <c r="GD14" s="47">
        <f>IF(COUNTIF(Diploma!list1,GC14)&gt;=1,"",ROW())</f>
        <v>14</v>
      </c>
      <c r="GE14" s="49" t="str">
        <f t="shared" si="61"/>
        <v>Unit 20 - Building a Personal Computer</v>
      </c>
      <c r="GG14" s="23" t="s">
        <v>592</v>
      </c>
      <c r="GH14" s="47">
        <f>IF(COUNTIF(Diploma!list1,GG14)&gt;=1,"",ROW())</f>
        <v>14</v>
      </c>
      <c r="GI14" s="49" t="str">
        <f t="shared" si="62"/>
        <v>Unit 20 - Building a Personal Computer</v>
      </c>
    </row>
    <row r="15" spans="1:255" ht="15" customHeight="1">
      <c r="A15" s="92" t="s">
        <v>414</v>
      </c>
      <c r="B15" s="47">
        <f>IF(COUNTIF(Diploma!list1,A15)&gt;=1,"",ROW())</f>
        <v>15</v>
      </c>
      <c r="C15" s="47" t="str">
        <f t="shared" si="23"/>
        <v>Unit 19 - Digital Art and Design Briefs</v>
      </c>
      <c r="F15" s="47"/>
      <c r="G15" s="49"/>
      <c r="I15" s="47"/>
      <c r="J15" s="47"/>
      <c r="K15" s="47"/>
      <c r="L15" s="47"/>
      <c r="N15" s="47"/>
      <c r="O15" s="49"/>
      <c r="P15" s="47"/>
      <c r="Q15" s="47"/>
      <c r="R15" s="47"/>
      <c r="S15" s="47"/>
      <c r="T15" s="47"/>
      <c r="V15" s="47"/>
      <c r="W15" s="49"/>
      <c r="X15" s="47"/>
      <c r="Y15" s="47" t="s">
        <v>668</v>
      </c>
      <c r="Z15" s="47"/>
      <c r="AA15" s="47"/>
      <c r="AB15" s="47"/>
      <c r="AC15">
        <f>COUNTIF(Diploma!$G$23:$G$31, "Unit 6 - Planning, Preparing, Cooking and Finishing Food")</f>
        <v>0</v>
      </c>
      <c r="AD15" s="47"/>
      <c r="AE15">
        <f>COUNTIF(Diploma!$G$33:$G$40, "Unit 13 - Contemporary World Food Cooking Skills")</f>
        <v>0</v>
      </c>
      <c r="AF15" s="47">
        <f t="shared" ref="AF15" si="77">IF(AND(AC15=0,AE15=1),1,0)</f>
        <v>0</v>
      </c>
      <c r="AG15" s="47"/>
      <c r="AH15" s="47"/>
      <c r="AI15" s="47"/>
      <c r="AJ15" s="47"/>
      <c r="AL15" s="47"/>
      <c r="AM15" s="49"/>
      <c r="AN15" s="47"/>
      <c r="AR15" s="47"/>
      <c r="AS15" s="47"/>
      <c r="AT15" s="47"/>
      <c r="AU15" s="47"/>
      <c r="AV15" s="47"/>
      <c r="AW15" s="14" t="s">
        <v>300</v>
      </c>
      <c r="AX15" s="50">
        <f t="shared" si="0"/>
        <v>15</v>
      </c>
      <c r="AY15" s="49" t="str">
        <f t="shared" si="33"/>
        <v>Unit 23 - Realising Mask Design for Performance</v>
      </c>
      <c r="AZ15" s="47"/>
      <c r="BA15" s="14" t="s">
        <v>292</v>
      </c>
      <c r="BB15" s="50">
        <f>IF(COUNTIF(Certificate!$G$23:$G$25,BA15)&gt;=1,"",ROW())</f>
        <v>15</v>
      </c>
      <c r="BC15" s="49" t="str">
        <f t="shared" si="1"/>
        <v>Unit 22 - Realising Prop Design for Performance</v>
      </c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14"/>
      <c r="BR15" s="50"/>
      <c r="BS15" s="49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33" t="s">
        <v>617</v>
      </c>
      <c r="CP15" s="50">
        <f>IF(COUNTIF(Diploma!list1,CO15)&gt;=1,"",ROW())</f>
        <v>15</v>
      </c>
      <c r="CQ15" s="49" t="str">
        <f t="shared" si="39"/>
        <v>Unit 38 - Use of ICT in the Performing Arts</v>
      </c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7"/>
      <c r="DP15" s="47"/>
      <c r="DQ15" s="47"/>
      <c r="DR15" s="47"/>
      <c r="DS15" s="47"/>
      <c r="DT15" s="47"/>
      <c r="DU15" s="120" t="s">
        <v>485</v>
      </c>
      <c r="DV15" s="47">
        <f>IF(COUNTIF(Diploma!list1,DU15)&gt;=1,"",ROW())</f>
        <v>15</v>
      </c>
      <c r="DW15" s="49" t="str">
        <f t="shared" si="47"/>
        <v>Unit 27 - Interaction Design</v>
      </c>
      <c r="DX15" s="47"/>
      <c r="DY15" s="47"/>
      <c r="DZ15" s="47"/>
      <c r="EA15" s="47"/>
      <c r="EB15" s="47"/>
      <c r="EC15" s="120" t="s">
        <v>497</v>
      </c>
      <c r="ED15" s="47">
        <f>IF(COUNTIF(Diploma!list1,EC15)&gt;=1,"",ROW())</f>
        <v>15</v>
      </c>
      <c r="EE15" s="49" t="str">
        <f t="shared" si="49"/>
        <v>Unit 38 - Advertising Briefs</v>
      </c>
      <c r="EF15" s="47"/>
      <c r="EG15" s="47"/>
      <c r="EH15" s="47"/>
      <c r="EI15" s="47"/>
      <c r="EJ15" s="47"/>
      <c r="EK15" s="47" t="str">
        <f>IF(OR(AF15=1,AF12=1),"","1")</f>
        <v>1</v>
      </c>
      <c r="EL15" s="47"/>
      <c r="EM15" s="47"/>
      <c r="EN15" s="47"/>
      <c r="EO15" s="120" t="s">
        <v>601</v>
      </c>
      <c r="EP15" s="47">
        <f t="shared" si="7"/>
        <v>15</v>
      </c>
      <c r="EQ15" s="49" t="str">
        <f t="shared" si="51"/>
        <v>Unit 26 - Composing for Visual Media</v>
      </c>
      <c r="ES15" s="14" t="s">
        <v>409</v>
      </c>
      <c r="ET15" s="47">
        <f>IF(COUNTIF('Extended Certificate'!$G$21:$G$29,ES15)&gt;=1,"",ROW())</f>
        <v>15</v>
      </c>
      <c r="EU15" s="49" t="str">
        <f t="shared" si="52"/>
        <v>Unit 22 - Biotechnology Procedures and Applications</v>
      </c>
      <c r="EW15" t="s">
        <v>471</v>
      </c>
      <c r="EX15" s="47">
        <f>IF(COUNTIF('Extended Certificate'!$G$21:$G$29,EW15)&gt;=1,"",ROW())</f>
        <v>15</v>
      </c>
      <c r="EY15" s="49" t="str">
        <f t="shared" si="53"/>
        <v>Unit 18 - Security Procedures in the Public Services</v>
      </c>
      <c r="FQ15" s="129" t="s">
        <v>545</v>
      </c>
      <c r="FR15">
        <f t="shared" si="11"/>
        <v>15</v>
      </c>
      <c r="FS15" s="123" t="str">
        <f t="shared" si="58"/>
        <v>Unit 26 - Operation and Maintenance of Electrical Systems and _x000D_Components</v>
      </c>
      <c r="GC15" s="23" t="s">
        <v>590</v>
      </c>
      <c r="GD15" s="47">
        <f>IF(COUNTIF(Diploma!list1,GC15)&gt;=1,"",ROW())</f>
        <v>15</v>
      </c>
      <c r="GE15" s="49" t="str">
        <f t="shared" si="61"/>
        <v>Unit 21 - A Technology Business</v>
      </c>
      <c r="GG15" s="23" t="s">
        <v>590</v>
      </c>
      <c r="GH15" s="47">
        <f>IF(COUNTIF(Diploma!list1,GG15)&gt;=1,"",ROW())</f>
        <v>15</v>
      </c>
      <c r="GI15" s="49" t="str">
        <f t="shared" si="62"/>
        <v>Unit 21 - A Technology Business</v>
      </c>
    </row>
    <row r="16" spans="1:255" ht="15" customHeight="1">
      <c r="A16" s="92" t="s">
        <v>445</v>
      </c>
      <c r="B16" s="47">
        <f>IF(COUNTIF(Diploma!list1,A16)&gt;=1,"",ROW())</f>
        <v>16</v>
      </c>
      <c r="C16" s="47" t="str">
        <f t="shared" si="23"/>
        <v>Unit 20 - Interactive Media Production Briefs</v>
      </c>
      <c r="I16" s="47"/>
      <c r="J16" s="47"/>
      <c r="K16" s="47"/>
      <c r="L16" s="47"/>
      <c r="N16" s="47"/>
      <c r="O16" s="49"/>
      <c r="P16" s="47"/>
      <c r="Q16" s="47"/>
      <c r="R16" s="47"/>
      <c r="S16" s="47"/>
      <c r="T16" s="47"/>
      <c r="V16" s="47"/>
      <c r="W16" s="49"/>
      <c r="X16" s="47"/>
      <c r="Y16">
        <f>COUNTIF(Diploma!$G$23:$G$31, "Unit 17 - Community Volunteering in Health and Social Care")</f>
        <v>0</v>
      </c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R16" s="47"/>
      <c r="AS16" s="47"/>
      <c r="AT16" s="47"/>
      <c r="AU16" s="47"/>
      <c r="AV16" s="47"/>
      <c r="AW16" s="14" t="s">
        <v>307</v>
      </c>
      <c r="AX16" s="50">
        <f t="shared" si="0"/>
        <v>16</v>
      </c>
      <c r="AY16" s="49" t="str">
        <f t="shared" si="33"/>
        <v>Unit 24 - Lighting for Performance</v>
      </c>
      <c r="AZ16" s="47"/>
      <c r="BA16" s="14" t="s">
        <v>300</v>
      </c>
      <c r="BB16" s="50">
        <f>IF(COUNTIF(Certificate!$G$23:$G$25,BA16)&gt;=1,"",ROW())</f>
        <v>16</v>
      </c>
      <c r="BC16" s="49" t="str">
        <f t="shared" si="1"/>
        <v>Unit 23 - Realising Mask Design for Performance</v>
      </c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14"/>
      <c r="BR16" s="50"/>
      <c r="BS16" s="49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33" t="s">
        <v>618</v>
      </c>
      <c r="CP16" s="50">
        <f>IF(COUNTIF(Diploma!list1,CO16)&gt;=1,"",ROW())</f>
        <v>16</v>
      </c>
      <c r="CQ16" s="49" t="str">
        <f t="shared" si="39"/>
        <v>Unit 39 - Work Experience in the Performing Arts</v>
      </c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120" t="s">
        <v>488</v>
      </c>
      <c r="DV16" s="47">
        <f>IF(COUNTIF(Diploma!list1,DU16)&gt;=1,"",ROW())</f>
        <v>16</v>
      </c>
      <c r="DW16" s="49" t="str">
        <f t="shared" si="47"/>
        <v>Unit 30 - Ceramics</v>
      </c>
      <c r="DX16" s="47"/>
      <c r="DY16" s="47"/>
      <c r="DZ16" s="47"/>
      <c r="EA16" s="47"/>
      <c r="EB16" s="47"/>
      <c r="EC16" s="120" t="s">
        <v>498</v>
      </c>
      <c r="ED16" s="47">
        <f>IF(COUNTIF(Diploma!list1,EC16)&gt;=1,"",ROW())</f>
        <v>16</v>
      </c>
      <c r="EE16" s="49" t="str">
        <f t="shared" si="49"/>
        <v>Unit 39 - Modelmaking</v>
      </c>
      <c r="EF16" s="47"/>
      <c r="EG16" s="47"/>
      <c r="EH16" s="47"/>
      <c r="EI16" s="47"/>
      <c r="EJ16" s="47"/>
      <c r="EK16" s="47"/>
      <c r="EL16" s="47"/>
      <c r="EM16" s="47"/>
      <c r="EN16" s="47"/>
      <c r="EO16" s="120" t="s">
        <v>602</v>
      </c>
      <c r="EP16" s="47">
        <f t="shared" si="7"/>
        <v>16</v>
      </c>
      <c r="EQ16" s="49" t="str">
        <f t="shared" si="51"/>
        <v>Unit 27 - Enterprise and Music</v>
      </c>
      <c r="ES16" s="14" t="s">
        <v>410</v>
      </c>
      <c r="ET16" s="47">
        <f>IF(COUNTIF('Extended Certificate'!$G$21:$G$29,ES16)&gt;=1,"",ROW())</f>
        <v>16</v>
      </c>
      <c r="EU16" s="49" t="str">
        <f t="shared" si="52"/>
        <v xml:space="preserve">Unit 23 - Further Chemistry </v>
      </c>
      <c r="FQ16" s="129" t="s">
        <v>546</v>
      </c>
      <c r="FR16">
        <f t="shared" si="11"/>
        <v>16</v>
      </c>
      <c r="FS16" s="123" t="str">
        <f t="shared" si="58"/>
        <v>Unit 27 - Operation and Maintenance of Fluid Power Systems _x000D_and Components</v>
      </c>
      <c r="GC16" s="23" t="s">
        <v>591</v>
      </c>
      <c r="GD16" s="47">
        <f>IF(COUNTIF(Diploma!list1,GC16)&gt;=1,"",ROW())</f>
        <v>16</v>
      </c>
      <c r="GE16" s="49" t="str">
        <f t="shared" si="61"/>
        <v>Unit 23 - Computer Systems Support in Practice</v>
      </c>
      <c r="GG16" s="23" t="s">
        <v>591</v>
      </c>
      <c r="GH16" s="47">
        <f>IF(COUNTIF(Diploma!list1,GG16)&gt;=1,"",ROW())</f>
        <v>16</v>
      </c>
      <c r="GI16" s="49" t="str">
        <f t="shared" si="62"/>
        <v>Unit 23 - Computer Systems Support in Practice</v>
      </c>
    </row>
    <row r="17" spans="1:225">
      <c r="A17" s="92" t="str">
        <f>IF(A39=1,"","Unit 21 - Painting Briefs")</f>
        <v>Unit 21 - Painting Briefs</v>
      </c>
      <c r="B17" s="47">
        <f>IF(COUNTIF(Diploma!list1,A17)&gt;=1,"",ROW())</f>
        <v>17</v>
      </c>
      <c r="C17" s="47" t="str">
        <f t="shared" si="23"/>
        <v>Unit 21 - Painting Briefs</v>
      </c>
      <c r="I17" s="47"/>
      <c r="J17" s="47"/>
      <c r="K17" s="47"/>
      <c r="L17" s="47"/>
      <c r="N17" s="47"/>
      <c r="O17" s="49"/>
      <c r="P17" s="47"/>
      <c r="Q17" s="47"/>
      <c r="R17" s="47"/>
      <c r="S17" s="47"/>
      <c r="T17" s="47"/>
      <c r="V17" s="47"/>
      <c r="W17" s="49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R17" s="47"/>
      <c r="AS17" s="47"/>
      <c r="AT17" s="47"/>
      <c r="AU17" s="47"/>
      <c r="AV17" s="47"/>
      <c r="AW17" s="14" t="s">
        <v>312</v>
      </c>
      <c r="AX17" s="50">
        <f t="shared" si="0"/>
        <v>17</v>
      </c>
      <c r="AY17" s="49" t="str">
        <f t="shared" si="33"/>
        <v>Unit 25 - Sound for Performance</v>
      </c>
      <c r="AZ17" s="47"/>
      <c r="BA17" s="14" t="s">
        <v>307</v>
      </c>
      <c r="BB17" s="50">
        <f>IF(COUNTIF(Certificate!$G$23:$G$25,BA17)&gt;=1,"",ROW())</f>
        <v>17</v>
      </c>
      <c r="BC17" s="49" t="str">
        <f t="shared" si="1"/>
        <v>Unit 24 - Lighting for Performance</v>
      </c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14"/>
      <c r="BR17" s="50"/>
      <c r="BS17" s="49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120" t="s">
        <v>496</v>
      </c>
      <c r="DV17" s="47">
        <f>IF(COUNTIF(Diploma!list1,DU17)&gt;=1,"",ROW())</f>
        <v>17</v>
      </c>
      <c r="DW17" s="49" t="str">
        <f t="shared" si="47"/>
        <v>Unit 37 - Sustainability in Art and Design Practice</v>
      </c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 t="s">
        <v>670</v>
      </c>
      <c r="EL17" s="47"/>
      <c r="EM17" s="47"/>
      <c r="EN17" s="47"/>
      <c r="EO17" s="47"/>
      <c r="EP17" s="47"/>
      <c r="EQ17" s="47"/>
      <c r="ES17" s="14" t="s">
        <v>411</v>
      </c>
      <c r="ET17" s="47">
        <f>IF(COUNTIF('Extended Certificate'!$G$21:$G$29,ES17)&gt;=1,"",ROW())</f>
        <v>17</v>
      </c>
      <c r="EU17" s="49" t="str">
        <f>IF(ROW(ES17)-ROW(ES$2)+1&gt;COUNT(ET$2:ET$17),"",INDEX(ES:ES,SMALL(ET$2:ET$17,1+ROW(ES17)-ROW(ES$2))))</f>
        <v>Unit 24 - Further Physics</v>
      </c>
      <c r="FQ17" s="128" t="s">
        <v>547</v>
      </c>
      <c r="FR17">
        <f t="shared" si="11"/>
        <v>17</v>
      </c>
      <c r="FS17" s="123" t="str">
        <f t="shared" si="58"/>
        <v>Unit 28 - Fabrication Techniques</v>
      </c>
      <c r="GC17" s="23" t="s">
        <v>593</v>
      </c>
      <c r="GD17" s="47">
        <f>IF(COUNTIF(Diploma!list1,GC17)&gt;=1,"",ROW())</f>
        <v>17</v>
      </c>
      <c r="GE17" s="49" t="str">
        <f t="shared" si="61"/>
        <v>Unit 25 - IT Work Experience</v>
      </c>
      <c r="GG17" s="23" t="s">
        <v>593</v>
      </c>
      <c r="GH17" s="47">
        <f>IF(COUNTIF(Diploma!list1,GG17)&gt;=1,"",ROW())</f>
        <v>17</v>
      </c>
      <c r="GI17" s="49" t="str">
        <f>IF(ROW(GG17)-ROW(GG$2)+1&gt;COUNT(GH$2:GH$17),"",INDEX(GG:GG,SMALL(GH$2:GH$17,1+ROW(GG17)-ROW(GG$2))))</f>
        <v>Unit 25 - IT Work Experience</v>
      </c>
    </row>
    <row r="18" spans="1:225">
      <c r="A18" s="92" t="str">
        <f>IF(A48=1,"","Unit 22 - Designing Products")</f>
        <v>Unit 22 - Designing Products</v>
      </c>
      <c r="B18" s="47">
        <f>IF(COUNTIF(Diploma!list1,A18)&gt;=1,"",ROW())</f>
        <v>18</v>
      </c>
      <c r="C18" s="47" t="str">
        <f t="shared" si="23"/>
        <v>Unit 22 - Designing Products</v>
      </c>
      <c r="G18" t="s">
        <v>203</v>
      </c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R18" s="47"/>
      <c r="AS18" s="47"/>
      <c r="AT18" s="47"/>
      <c r="AU18" s="47"/>
      <c r="AV18" s="47"/>
      <c r="AW18" s="33" t="s">
        <v>327</v>
      </c>
      <c r="AX18" s="50">
        <f t="shared" si="0"/>
        <v>18</v>
      </c>
      <c r="AY18" s="49" t="str">
        <f t="shared" si="33"/>
        <v>Unit 26 - Supporting Performance: Stage Management</v>
      </c>
      <c r="AZ18" s="47"/>
      <c r="BA18" s="14" t="s">
        <v>312</v>
      </c>
      <c r="BB18" s="50">
        <f>IF(COUNTIF(Certificate!$G$23:$G$25,BA18)&gt;=1,"",ROW())</f>
        <v>18</v>
      </c>
      <c r="BC18" s="49" t="str">
        <f t="shared" si="1"/>
        <v>Unit 25 - Sound for Performance</v>
      </c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14"/>
      <c r="BR18" s="50"/>
      <c r="BS18" s="49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120" t="s">
        <v>498</v>
      </c>
      <c r="DV18" s="47">
        <f>IF(COUNTIF(Diploma!list1,DU18)&gt;=1,"",ROW())</f>
        <v>18</v>
      </c>
      <c r="DW18" s="49" t="str">
        <f t="shared" si="47"/>
        <v>Unit 39 - Modelmaking</v>
      </c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>
        <f>COUNTIF(Diploma!$G$33:$G$40, "Unit 20 - Work Experience in Hospitality")</f>
        <v>0</v>
      </c>
      <c r="EL18" s="47"/>
      <c r="EM18" s="47"/>
      <c r="EN18" s="47"/>
      <c r="EO18" s="47"/>
      <c r="EP18" s="47"/>
      <c r="EQ18" s="47"/>
      <c r="FQ18" s="128" t="s">
        <v>548</v>
      </c>
      <c r="FR18">
        <f t="shared" si="11"/>
        <v>18</v>
      </c>
      <c r="FS18" s="123" t="str">
        <f t="shared" si="58"/>
        <v>Unit 29 - Casting Techniques</v>
      </c>
      <c r="HQ18" s="55"/>
    </row>
    <row r="19" spans="1:225">
      <c r="A19" s="120" t="s">
        <v>482</v>
      </c>
      <c r="B19" s="47">
        <f>IF(COUNTIF(Diploma!list1,A19)&gt;=1,"",ROW())</f>
        <v>19</v>
      </c>
      <c r="C19" s="47" t="str">
        <f t="shared" si="23"/>
        <v>Unit 24 - Design Thinking</v>
      </c>
      <c r="G19">
        <f>COUNTIF(Diploma!$G$33:$G$40, "Unit 8 - Recruitment, Selection and Employment")</f>
        <v>0</v>
      </c>
      <c r="I19" s="47"/>
      <c r="J19" s="47"/>
      <c r="K19" s="47"/>
      <c r="L19" s="47"/>
      <c r="M19" s="47" t="s">
        <v>666</v>
      </c>
      <c r="N19" s="47"/>
      <c r="O19" t="s">
        <v>665</v>
      </c>
      <c r="P19" s="47" t="s">
        <v>671</v>
      </c>
      <c r="Q19" s="47"/>
      <c r="R19" s="47"/>
      <c r="S19" s="47"/>
      <c r="T19" s="47"/>
      <c r="V19" s="47"/>
      <c r="W19" s="47"/>
      <c r="X19" s="47"/>
      <c r="Z19" s="47"/>
      <c r="AA19" s="47" t="s">
        <v>353</v>
      </c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R19" s="47"/>
      <c r="AS19" s="47"/>
      <c r="AT19" s="47"/>
      <c r="AU19" s="47"/>
      <c r="AV19" s="47"/>
      <c r="AW19" s="33" t="s">
        <v>328</v>
      </c>
      <c r="AX19" s="50">
        <f t="shared" si="0"/>
        <v>19</v>
      </c>
      <c r="AY19" s="49" t="str">
        <f t="shared" si="33"/>
        <v>Unit 27 - Supporting Performance: Front of House</v>
      </c>
      <c r="AZ19" s="47"/>
      <c r="BA19" s="33" t="s">
        <v>327</v>
      </c>
      <c r="BB19" s="50">
        <f>IF(COUNTIF(Certificate!$G$23:$G$25,BA19)&gt;=1,"",ROW())</f>
        <v>19</v>
      </c>
      <c r="BC19" s="49" t="str">
        <f t="shared" si="1"/>
        <v>Unit 26 - Supporting Performance: Stage Management</v>
      </c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33"/>
      <c r="BR19" s="50"/>
      <c r="BS19" s="49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47"/>
      <c r="ES19" t="s">
        <v>433</v>
      </c>
      <c r="FQ19" s="128" t="s">
        <v>549</v>
      </c>
      <c r="FR19">
        <f t="shared" si="11"/>
        <v>19</v>
      </c>
      <c r="FS19" s="123" t="str">
        <f t="shared" si="58"/>
        <v>Unit 30 - Vehicle Maintenance Techniques</v>
      </c>
      <c r="GK19" t="s">
        <v>667</v>
      </c>
      <c r="HQ19" s="55"/>
    </row>
    <row r="20" spans="1:225">
      <c r="A20" s="120" t="s">
        <v>483</v>
      </c>
      <c r="B20" s="47">
        <f>IF(COUNTIF(Diploma!list1,A20)&gt;=1,"",ROW())</f>
        <v>20</v>
      </c>
      <c r="C20" s="47" t="str">
        <f t="shared" si="23"/>
        <v>Unit 25 - Fashion Promotion</v>
      </c>
      <c r="I20" s="47"/>
      <c r="J20" s="47"/>
      <c r="K20" s="47"/>
      <c r="L20" s="47"/>
      <c r="M20">
        <f>COUNTIF(Diploma!$G$33:$G$40, "Unit 6 - Exploring Carpentry and Joinery Principles and Techniques")</f>
        <v>0</v>
      </c>
      <c r="N20" s="47"/>
      <c r="O20">
        <f>COUNTIF(Diploma!$G$23:$G$31, "Unit 16 - Carpentry and Joinery Operations")</f>
        <v>0</v>
      </c>
      <c r="P20" s="47">
        <f>IF(AND(M20=0,O20=1),1,0)</f>
        <v>0</v>
      </c>
      <c r="Q20" s="47"/>
      <c r="R20" s="47"/>
      <c r="S20" s="47"/>
      <c r="T20" s="47"/>
      <c r="V20" s="47"/>
      <c r="W20" s="47"/>
      <c r="X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23" t="s">
        <v>317</v>
      </c>
      <c r="AX20" s="50">
        <f t="shared" si="0"/>
        <v>20</v>
      </c>
      <c r="AY20" s="49" t="str">
        <f t="shared" si="33"/>
        <v>Unit 28 - Make-up for Performance</v>
      </c>
      <c r="AZ20" s="47"/>
      <c r="BA20" s="33" t="s">
        <v>328</v>
      </c>
      <c r="BB20" s="50">
        <f>IF(COUNTIF(Certificate!$G$23:$G$25,BA20)&gt;=1,"",ROW())</f>
        <v>20</v>
      </c>
      <c r="BC20" s="49" t="str">
        <f t="shared" si="1"/>
        <v>Unit 27 - Supporting Performance: Front of House</v>
      </c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33"/>
      <c r="BR20" s="50"/>
      <c r="BS20" s="49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t="s">
        <v>160</v>
      </c>
      <c r="DV20" s="47"/>
      <c r="DW20" t="s">
        <v>660</v>
      </c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 t="s">
        <v>663</v>
      </c>
      <c r="EL20" s="47"/>
      <c r="EM20" s="47"/>
      <c r="EN20" s="47"/>
      <c r="EO20" s="47"/>
      <c r="EP20" s="47"/>
      <c r="EQ20" s="47"/>
      <c r="FE20" t="str">
        <f>IF(OR(P20=1,P23=1,P26=1,P29=1,P32=1),"","1")</f>
        <v>1</v>
      </c>
      <c r="FQ20" s="128" t="s">
        <v>550</v>
      </c>
      <c r="FR20">
        <f t="shared" si="11"/>
        <v>20</v>
      </c>
      <c r="FS20" s="123" t="str">
        <f t="shared" si="58"/>
        <v>Unit 31 - Production Planning for Engineering</v>
      </c>
      <c r="GK20">
        <f>COUNTIF(Diploma!$G$33:$G$40, "Unit 10 - Adventurous Activities in the Public Services")</f>
        <v>0</v>
      </c>
      <c r="HQ20" s="55"/>
    </row>
    <row r="21" spans="1:225">
      <c r="A21" s="120" t="s">
        <v>484</v>
      </c>
      <c r="B21" s="47">
        <f>IF(COUNTIF(Diploma!list1,A21)&gt;=1,"",ROW())</f>
        <v>21</v>
      </c>
      <c r="C21" s="47" t="str">
        <f t="shared" si="23"/>
        <v>Unit 26 - Moving Image Briefs</v>
      </c>
      <c r="G21" t="s">
        <v>675</v>
      </c>
      <c r="I21" s="47"/>
      <c r="J21" s="47"/>
      <c r="K21" s="47"/>
      <c r="L21" s="47"/>
      <c r="M21" s="47"/>
      <c r="N21" s="47"/>
      <c r="P21" s="47"/>
      <c r="Q21" s="47"/>
      <c r="R21" s="47"/>
      <c r="S21" s="47"/>
      <c r="T21" s="47"/>
      <c r="V21" s="47"/>
      <c r="W21" s="47"/>
      <c r="X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23" t="s">
        <v>321</v>
      </c>
      <c r="AX21" s="50">
        <f t="shared" si="0"/>
        <v>21</v>
      </c>
      <c r="AY21" s="49" t="str">
        <f t="shared" si="33"/>
        <v>Unit 29 - Wardrobe for Stage Performance</v>
      </c>
      <c r="AZ21" s="47"/>
      <c r="BA21" s="23" t="s">
        <v>317</v>
      </c>
      <c r="BB21" s="50">
        <f>IF(COUNTIF(Certificate!$G$23:$G$25,BA21)&gt;=1,"",ROW())</f>
        <v>21</v>
      </c>
      <c r="BC21" s="49" t="str">
        <f t="shared" si="1"/>
        <v>Unit 28 - Make-up for Performance</v>
      </c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23"/>
      <c r="BR21" s="50"/>
      <c r="BS21" s="49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>
        <f>COUNTIF(Diploma!$G$23:$G$31, "Unit 3 - Communicating Ideas in 2D")</f>
        <v>0</v>
      </c>
      <c r="DV21" s="47"/>
      <c r="DW21">
        <f>COUNTIF(Diploma!$G$23:$G$31, "Unit 11 - Graphic Design Briefs")</f>
        <v>0</v>
      </c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>
        <f>COUNTIF(Diploma!$G$33:$G$40, "Unit 21 - Hospitality Community Volunteering")</f>
        <v>0</v>
      </c>
      <c r="EL21" s="47"/>
      <c r="EM21" s="47"/>
      <c r="EN21" s="47"/>
      <c r="EO21" s="47"/>
      <c r="EP21" s="47"/>
      <c r="EQ21" s="47"/>
      <c r="FQ21" s="128" t="s">
        <v>551</v>
      </c>
      <c r="FR21">
        <f t="shared" si="11"/>
        <v>21</v>
      </c>
      <c r="FS21" s="123" t="str">
        <f t="shared" si="58"/>
        <v>Unit 32 - Engineering Marking Out</v>
      </c>
      <c r="HQ21" s="55"/>
    </row>
    <row r="22" spans="1:225" ht="15" customHeight="1">
      <c r="A22" s="120" t="s">
        <v>485</v>
      </c>
      <c r="B22" s="47">
        <f>IF(COUNTIF(Diploma!list1,A22)&gt;=1,"",ROW())</f>
        <v>22</v>
      </c>
      <c r="C22" s="47" t="str">
        <f t="shared" si="23"/>
        <v>Unit 27 - Interaction Design</v>
      </c>
      <c r="G22">
        <f>COUNTIF(Diploma!$G$23:$G$31, "Unit 24 - Work Experience in Business")</f>
        <v>0</v>
      </c>
      <c r="H22" s="14"/>
      <c r="I22" s="47"/>
      <c r="J22" s="47"/>
      <c r="K22" s="47"/>
      <c r="L22" s="47"/>
      <c r="M22" s="47" t="s">
        <v>211</v>
      </c>
      <c r="N22" s="47"/>
      <c r="O22" t="s">
        <v>668</v>
      </c>
      <c r="P22" s="47"/>
      <c r="Q22" s="47"/>
      <c r="R22" s="47"/>
      <c r="S22" s="47"/>
      <c r="T22" s="47"/>
      <c r="V22" s="47"/>
      <c r="W22" s="47"/>
      <c r="X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33" t="s">
        <v>611</v>
      </c>
      <c r="AX22" s="50">
        <f t="shared" si="0"/>
        <v>22</v>
      </c>
      <c r="AY22" s="49" t="str">
        <f t="shared" si="33"/>
        <v>Unit 30 - Choreographing Dance</v>
      </c>
      <c r="AZ22" s="47"/>
      <c r="BA22" s="23" t="s">
        <v>321</v>
      </c>
      <c r="BB22" s="50">
        <f>IF(COUNTIF(Certificate!$G$23:$G$25,BA22)&gt;=1,"",ROW())</f>
        <v>22</v>
      </c>
      <c r="BC22" s="49" t="str">
        <f t="shared" si="1"/>
        <v>Unit 29 - Wardrobe for Stage Performance</v>
      </c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23"/>
      <c r="BR22" s="50"/>
      <c r="BS22" s="49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55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FQ22" s="129" t="s">
        <v>552</v>
      </c>
      <c r="FR22">
        <f t="shared" si="11"/>
        <v>22</v>
      </c>
      <c r="FS22" s="123" t="str">
        <f t="shared" si="58"/>
        <v>Unit 33 - Preparing and Controlling Engineering Manufacturing _x000D_Operations</v>
      </c>
      <c r="GK22" t="s">
        <v>672</v>
      </c>
      <c r="HQ22" s="55"/>
    </row>
    <row r="23" spans="1:225">
      <c r="A23" s="120" t="s">
        <v>486</v>
      </c>
      <c r="B23" s="47">
        <f>IF(COUNTIF(Diploma!list1,A23)&gt;=1,"",ROW())</f>
        <v>23</v>
      </c>
      <c r="C23" s="47" t="str">
        <f t="shared" si="23"/>
        <v>Unit 28 - Printmaking Briefs</v>
      </c>
      <c r="H23" s="14"/>
      <c r="M23">
        <f>COUNTIF(Diploma!$G$33:$G$40, "Unit 7 - Exploring Brickwork and Blockwork Principles and Techniques")</f>
        <v>0</v>
      </c>
      <c r="O23">
        <f>COUNTIF(Diploma!$G$23:$G$31, "Unit 17 - Brickwork and Blockwork Operations")</f>
        <v>0</v>
      </c>
      <c r="P23" s="47">
        <f>IF(AND(M23=0,O23=1),1,0)</f>
        <v>0</v>
      </c>
      <c r="AW23" s="33" t="s">
        <v>612</v>
      </c>
      <c r="AX23" s="50">
        <f t="shared" si="0"/>
        <v>23</v>
      </c>
      <c r="AY23" s="49" t="str">
        <f t="shared" si="33"/>
        <v>Unit 32 - Directing Performance</v>
      </c>
      <c r="DU23" t="s">
        <v>161</v>
      </c>
      <c r="DW23" t="s">
        <v>662</v>
      </c>
      <c r="FQ23" s="128" t="s">
        <v>553</v>
      </c>
      <c r="FR23">
        <f t="shared" si="11"/>
        <v>23</v>
      </c>
      <c r="FS23" s="123" t="str">
        <f t="shared" si="58"/>
        <v>Unit 34 - PC Software and Hardware in Engineering</v>
      </c>
      <c r="GC23" s="23"/>
      <c r="GK23">
        <f>COUNTIF(Diploma!$G$23:$G$31, "Unit 14 - Multi-day Expedition Experience")</f>
        <v>0</v>
      </c>
      <c r="HQ23" s="55"/>
    </row>
    <row r="24" spans="1:225" ht="15" customHeight="1">
      <c r="A24" s="120" t="s">
        <v>487</v>
      </c>
      <c r="B24" s="47">
        <f>IF(COUNTIF(Diploma!list1,A24)&gt;=1,"",ROW())</f>
        <v>24</v>
      </c>
      <c r="C24" s="47" t="str">
        <f t="shared" si="23"/>
        <v>Unit 29 - Drawing from Observation</v>
      </c>
      <c r="H24" s="14"/>
      <c r="P24" s="47"/>
      <c r="AW24" s="33" t="s">
        <v>613</v>
      </c>
      <c r="AX24" s="50">
        <f t="shared" si="0"/>
        <v>24</v>
      </c>
      <c r="AY24" s="49" t="str">
        <f t="shared" si="33"/>
        <v>Unit 33 - Planning and Managing a Performing Arts Event</v>
      </c>
      <c r="CO24" s="23"/>
      <c r="DU24">
        <f>COUNTIF(Diploma!$G$23:$G$31, "Unit 4 - Communicating Ideas in 3D")</f>
        <v>0</v>
      </c>
      <c r="DW24">
        <f>COUNTIF(Diploma!$G$23:$G$31, "Unit 18 - 3D Design Briefs")</f>
        <v>0</v>
      </c>
      <c r="FQ24" s="129" t="s">
        <v>554</v>
      </c>
      <c r="FR24">
        <f t="shared" si="11"/>
        <v>24</v>
      </c>
      <c r="FS24" s="123" t="str">
        <f t="shared" si="58"/>
        <v>Unit 35 - Application of Quality Control and Measurement in _x000D_Engineering</v>
      </c>
      <c r="HQ24" s="97"/>
    </row>
    <row r="25" spans="1:225">
      <c r="A25" s="120" t="s">
        <v>488</v>
      </c>
      <c r="B25" s="47">
        <f>IF(COUNTIF(Diploma!list1,A25)&gt;=1,"",ROW())</f>
        <v>25</v>
      </c>
      <c r="C25" s="47" t="str">
        <f t="shared" si="23"/>
        <v>Unit 30 - Ceramics</v>
      </c>
      <c r="H25" s="14"/>
      <c r="M25" t="s">
        <v>203</v>
      </c>
      <c r="O25" t="s">
        <v>662</v>
      </c>
      <c r="P25" s="47"/>
      <c r="AW25" s="33" t="s">
        <v>614</v>
      </c>
      <c r="AX25" s="50">
        <f t="shared" si="0"/>
        <v>25</v>
      </c>
      <c r="AY25" s="49" t="str">
        <f t="shared" si="33"/>
        <v>Unit 34 - Multimedia Production</v>
      </c>
      <c r="GC25" s="23"/>
      <c r="HQ25" s="97"/>
    </row>
    <row r="26" spans="1:225">
      <c r="A26" s="120" t="s">
        <v>490</v>
      </c>
      <c r="B26" s="47">
        <f>IF(COUNTIF(Diploma!list1,A26)&gt;=1,"",ROW())</f>
        <v>26</v>
      </c>
      <c r="C26" s="47" t="str">
        <f t="shared" si="23"/>
        <v>Unit 31 - Studio Photography</v>
      </c>
      <c r="H26" s="47"/>
      <c r="M26">
        <f>COUNTIF(Diploma!$G$33:$G$40, "Unit 8 - Exploring Painting and Decorating Principles and Techniques")</f>
        <v>0</v>
      </c>
      <c r="O26">
        <f>COUNTIF(Diploma!$G$23:$G$31, "Unit 18 - Painting and Paperhanging Operations")</f>
        <v>0</v>
      </c>
      <c r="P26" s="47">
        <f t="shared" ref="P26:P32" si="78">IF(AND(M26=0,O26=1),1,0)</f>
        <v>0</v>
      </c>
      <c r="AW26" s="33" t="s">
        <v>615</v>
      </c>
      <c r="AX26" s="50">
        <f t="shared" si="0"/>
        <v>26</v>
      </c>
      <c r="AY26" s="49" t="str">
        <f t="shared" si="33"/>
        <v>Unit 35 - Physical Theatre Performance</v>
      </c>
      <c r="DW26" t="s">
        <v>664</v>
      </c>
      <c r="HQ26" s="97"/>
    </row>
    <row r="27" spans="1:225">
      <c r="A27" s="120" t="s">
        <v>491</v>
      </c>
      <c r="B27" s="47">
        <f>IF(COUNTIF(Diploma!list1,A27)&gt;=1,"",ROW())</f>
        <v>27</v>
      </c>
      <c r="C27" s="47" t="str">
        <f t="shared" si="23"/>
        <v>Unit 32 - Location Photography</v>
      </c>
      <c r="H27" s="47"/>
      <c r="P27" s="47"/>
      <c r="Y27" t="s">
        <v>353</v>
      </c>
      <c r="AW27" s="33" t="s">
        <v>616</v>
      </c>
      <c r="AX27" s="50">
        <f t="shared" si="0"/>
        <v>27</v>
      </c>
      <c r="AY27" s="49" t="str">
        <f t="shared" si="33"/>
        <v>Unit 36 - Variety Performance</v>
      </c>
      <c r="DW27">
        <f>COUNTIF(Diploma!$G$23:$G$31, "Unit 22 - Designing Products")</f>
        <v>0</v>
      </c>
      <c r="HQ27" s="97"/>
    </row>
    <row r="28" spans="1:225">
      <c r="A28" s="120" t="s">
        <v>492</v>
      </c>
      <c r="B28" s="47">
        <f>IF(COUNTIF(Diploma!list1,A28)&gt;=1,"",ROW())</f>
        <v>28</v>
      </c>
      <c r="C28" s="47" t="str">
        <f t="shared" si="23"/>
        <v>Unit 33 - Designing for Print and Screen</v>
      </c>
      <c r="H28" s="47"/>
      <c r="M28" t="s">
        <v>200</v>
      </c>
      <c r="O28" t="s">
        <v>669</v>
      </c>
      <c r="P28" s="47"/>
      <c r="AW28" s="33" t="s">
        <v>617</v>
      </c>
      <c r="AX28" s="50">
        <f t="shared" si="0"/>
        <v>28</v>
      </c>
      <c r="AY28" s="49" t="str">
        <f t="shared" si="33"/>
        <v>Unit 38 - Use of ICT in the Performing Arts</v>
      </c>
      <c r="CO28" s="55"/>
      <c r="HQ28" s="97"/>
    </row>
    <row r="29" spans="1:225">
      <c r="A29" s="120" t="s">
        <v>493</v>
      </c>
      <c r="B29" s="47">
        <f>IF(COUNTIF(Diploma!list1,A29)&gt;=1,"",ROW())</f>
        <v>29</v>
      </c>
      <c r="C29" s="47" t="str">
        <f t="shared" si="23"/>
        <v>Unit 34 - Editing Photographic Images</v>
      </c>
      <c r="H29" s="47"/>
      <c r="M29">
        <f>COUNTIF(Diploma!$G$33:$G$40, "Unit 9 - Exploring Plumbing Principles and Techniques")</f>
        <v>0</v>
      </c>
      <c r="O29">
        <f>COUNTIF(Diploma!$G$33:$G$40, "Unit 19 - Plumbing Operations")</f>
        <v>0</v>
      </c>
      <c r="P29" s="47">
        <f t="shared" si="78"/>
        <v>0</v>
      </c>
      <c r="AW29" s="33" t="s">
        <v>618</v>
      </c>
      <c r="AX29" s="50">
        <f t="shared" si="0"/>
        <v>29</v>
      </c>
      <c r="AY29" s="49" t="str">
        <f t="shared" si="33"/>
        <v>Unit 39 - Work Experience in the Performing Arts</v>
      </c>
      <c r="CO29" s="55"/>
      <c r="HQ29" s="54"/>
    </row>
    <row r="30" spans="1:225">
      <c r="A30" s="120" t="s">
        <v>494</v>
      </c>
      <c r="B30" s="47">
        <f>IF(COUNTIF(Diploma!list1,A30)&gt;=1,"",ROW())</f>
        <v>30</v>
      </c>
      <c r="C30" s="47" t="str">
        <f t="shared" si="23"/>
        <v>Unit 35 - Fashion Retail</v>
      </c>
      <c r="H30" s="47"/>
      <c r="P30" s="47"/>
      <c r="AW30" s="33" t="s">
        <v>619</v>
      </c>
      <c r="AX30" s="50">
        <f t="shared" si="0"/>
        <v>30</v>
      </c>
      <c r="AY30" s="49" t="str">
        <f t="shared" si="33"/>
        <v>Unit 40 - Singing Skills in the Performing Arts</v>
      </c>
      <c r="CO30" s="55"/>
      <c r="HQ30" s="54"/>
    </row>
    <row r="31" spans="1:225">
      <c r="A31" s="120" t="s">
        <v>495</v>
      </c>
      <c r="B31" s="47">
        <f>IF(COUNTIF(Diploma!list1,A31)&gt;=1,"",ROW())</f>
        <v>31</v>
      </c>
      <c r="C31" s="47" t="str">
        <f t="shared" si="23"/>
        <v>Unit 36 - Surface Design</v>
      </c>
      <c r="H31" s="47"/>
      <c r="M31" t="s">
        <v>667</v>
      </c>
      <c r="O31" t="s">
        <v>670</v>
      </c>
      <c r="P31" s="47"/>
      <c r="HQ31" s="54"/>
    </row>
    <row r="32" spans="1:225">
      <c r="A32" s="120" t="s">
        <v>496</v>
      </c>
      <c r="B32" s="47">
        <f>IF(COUNTIF(Diploma!list1,A32)&gt;=1,"",ROW())</f>
        <v>32</v>
      </c>
      <c r="C32" s="47" t="str">
        <f t="shared" si="23"/>
        <v>Unit 37 - Sustainability in Art and Design Practice</v>
      </c>
      <c r="H32" s="47"/>
      <c r="M32">
        <f>COUNTIF(Diploma!$G$33:$G$40, "Unit 10 - Exploring Electrical Principles and Techniques")</f>
        <v>0</v>
      </c>
      <c r="O32">
        <f>COUNTIF(Diploma!$G$33:$G$40, "Unit 20 - Electrical Operations")</f>
        <v>0</v>
      </c>
      <c r="P32" s="47">
        <f t="shared" si="78"/>
        <v>0</v>
      </c>
      <c r="HQ32" s="54"/>
    </row>
    <row r="33" spans="1:225">
      <c r="A33" s="120" t="s">
        <v>497</v>
      </c>
      <c r="B33" s="47">
        <f>IF(COUNTIF(Diploma!list1,A33)&gt;=1,"",ROW())</f>
        <v>33</v>
      </c>
      <c r="C33" s="47" t="str">
        <f t="shared" si="23"/>
        <v>Unit 38 - Advertising Briefs</v>
      </c>
      <c r="H33" s="92"/>
      <c r="HQ33" s="54"/>
    </row>
    <row r="34" spans="1:225">
      <c r="A34" s="120" t="s">
        <v>498</v>
      </c>
      <c r="B34" s="47">
        <f>IF(COUNTIF(Diploma!list1,A34)&gt;=1,"",ROW())</f>
        <v>34</v>
      </c>
      <c r="C34" s="47" t="str">
        <f t="shared" si="23"/>
        <v>Unit 39 - Modelmaking</v>
      </c>
      <c r="H34" s="92"/>
      <c r="GK34" s="14"/>
      <c r="HQ34" s="54"/>
    </row>
    <row r="35" spans="1:225">
      <c r="A35" s="120" t="str">
        <f>IF(A48=1,"","Unit 40 - Sculpture")</f>
        <v>Unit 40 - Sculpture</v>
      </c>
      <c r="B35" s="47">
        <f>IF(COUNTIF(Diploma!list1,A35)&gt;=1,"",ROW())</f>
        <v>35</v>
      </c>
      <c r="C35" s="47" t="str">
        <f t="shared" si="23"/>
        <v>Unit 40 - Sculpture</v>
      </c>
      <c r="H35" s="92"/>
      <c r="HQ35" s="120"/>
    </row>
    <row r="36" spans="1:225">
      <c r="B36" s="47"/>
      <c r="C36" s="47"/>
      <c r="H36" s="92"/>
      <c r="HQ36" s="120"/>
    </row>
    <row r="37" spans="1:225" ht="15" customHeight="1">
      <c r="H37" s="92"/>
      <c r="GK37" s="23"/>
      <c r="HQ37" s="130"/>
    </row>
    <row r="38" spans="1:225" ht="15" customHeight="1">
      <c r="A38" s="92" t="s">
        <v>160</v>
      </c>
      <c r="C38" t="s">
        <v>660</v>
      </c>
      <c r="H38" s="92"/>
      <c r="HQ38" s="130"/>
    </row>
    <row r="39" spans="1:225" ht="15" customHeight="1">
      <c r="A39">
        <f>COUNTIF(Diploma!$G$23:$G$31, "Unit 3 - Communicating Ideas in 2D")</f>
        <v>0</v>
      </c>
      <c r="C39">
        <f>COUNTIF(Diploma!$G$23:$G$31, "Unit 11 - Graphic Design Briefs")</f>
        <v>0</v>
      </c>
      <c r="H39" s="92"/>
      <c r="HQ39" s="130"/>
    </row>
    <row r="40" spans="1:225" ht="15" customHeight="1">
      <c r="HQ40" s="130"/>
    </row>
    <row r="41" spans="1:225">
      <c r="C41" t="s">
        <v>661</v>
      </c>
      <c r="HQ41" s="120"/>
    </row>
    <row r="42" spans="1:225">
      <c r="C42">
        <f>COUNTIF(Diploma!$G$23:$G$31, "Unit 13 - Visual Arts Briefs")</f>
        <v>0</v>
      </c>
      <c r="CO42" s="33"/>
      <c r="HQ42" s="120"/>
    </row>
    <row r="43" spans="1:225">
      <c r="CO43" s="33"/>
      <c r="HQ43" s="120"/>
    </row>
    <row r="44" spans="1:225">
      <c r="C44" t="s">
        <v>663</v>
      </c>
      <c r="HQ44" s="120"/>
    </row>
    <row r="45" spans="1:225">
      <c r="C45">
        <f>COUNTIF(Diploma!$G$23:$G$31, "Unit 21 - Painting Briefs")</f>
        <v>0</v>
      </c>
      <c r="HQ45" s="120"/>
    </row>
    <row r="46" spans="1:225" ht="15" customHeight="1">
      <c r="CO46" s="33"/>
      <c r="HQ46" s="130"/>
    </row>
    <row r="47" spans="1:225">
      <c r="A47" t="s">
        <v>161</v>
      </c>
      <c r="C47" t="s">
        <v>200</v>
      </c>
      <c r="CO47" s="33"/>
      <c r="HQ47" s="120"/>
    </row>
    <row r="48" spans="1:225" ht="15" customHeight="1">
      <c r="A48">
        <f>COUNTIF(Diploma!$G$23:$G$31, "Unit 4 - Communicating Ideas in 3D")</f>
        <v>0</v>
      </c>
      <c r="C48">
        <f>COUNTIF(Diploma!$G$23:$G$31, "Unit 9 - Design Crafts Briefs")</f>
        <v>0</v>
      </c>
      <c r="HQ48" s="130"/>
    </row>
    <row r="50" spans="3:93">
      <c r="C50" t="s">
        <v>662</v>
      </c>
      <c r="CO50" s="33"/>
    </row>
    <row r="51" spans="3:93">
      <c r="C51">
        <f>COUNTIF(Diploma!$G$23:$G$31, "Unit 18 - 3D Design Briefs")</f>
        <v>0</v>
      </c>
    </row>
    <row r="53" spans="3:93">
      <c r="C53" t="s">
        <v>664</v>
      </c>
    </row>
    <row r="54" spans="3:93">
      <c r="C54">
        <f>COUNTIF(Diploma!$G$23:$G$31, "Unit 22 - Designing Products")</f>
        <v>0</v>
      </c>
    </row>
    <row r="56" spans="3:93">
      <c r="C56" t="s">
        <v>674</v>
      </c>
    </row>
    <row r="57" spans="3:93">
      <c r="C57">
        <f>COUNTIF(Diploma!$G$23:$G$31, "Unit 40 - Sculpture")</f>
        <v>0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EY44"/>
  <sheetViews>
    <sheetView topLeftCell="O1" zoomScale="80" zoomScaleNormal="80" zoomScalePageLayoutView="80" workbookViewId="0">
      <selection activeCell="AC4" sqref="AC4"/>
    </sheetView>
  </sheetViews>
  <sheetFormatPr baseColWidth="10" defaultColWidth="8.83203125" defaultRowHeight="14" x14ac:dyDescent="0"/>
  <sheetData>
    <row r="1" spans="1:155">
      <c r="A1" s="44" t="s">
        <v>50</v>
      </c>
      <c r="B1" s="44"/>
      <c r="C1" s="44"/>
      <c r="E1" s="45" t="s">
        <v>51</v>
      </c>
      <c r="F1" s="45"/>
      <c r="G1" s="45"/>
      <c r="I1" s="44" t="s">
        <v>129</v>
      </c>
      <c r="J1" s="44"/>
      <c r="K1" s="44"/>
      <c r="L1" s="44"/>
      <c r="M1" s="44" t="s">
        <v>130</v>
      </c>
      <c r="N1" s="44"/>
      <c r="O1" s="44"/>
      <c r="P1" s="44"/>
      <c r="Q1" s="44" t="s">
        <v>131</v>
      </c>
      <c r="R1" s="44"/>
      <c r="S1" s="44"/>
      <c r="T1" s="44"/>
      <c r="U1" s="45" t="s">
        <v>54</v>
      </c>
      <c r="V1" s="45"/>
      <c r="W1" s="45"/>
      <c r="X1" s="44"/>
      <c r="Y1" s="44" t="s">
        <v>132</v>
      </c>
      <c r="Z1" s="44"/>
      <c r="AA1" s="44"/>
      <c r="AB1" s="44"/>
      <c r="AC1" s="44" t="s">
        <v>234</v>
      </c>
      <c r="AD1" s="44"/>
      <c r="AE1" s="44"/>
      <c r="AF1" s="44"/>
      <c r="AG1" s="44" t="s">
        <v>139</v>
      </c>
      <c r="AH1" s="44"/>
      <c r="AI1" s="44"/>
      <c r="AJ1" s="44"/>
      <c r="AK1" s="44" t="s">
        <v>138</v>
      </c>
      <c r="AL1" s="44"/>
      <c r="AM1" s="44"/>
      <c r="AN1" s="44"/>
      <c r="AO1" s="45" t="s">
        <v>235</v>
      </c>
      <c r="AP1" s="45"/>
      <c r="AQ1" s="45"/>
      <c r="AR1" s="44"/>
      <c r="AS1" s="44" t="s">
        <v>58</v>
      </c>
      <c r="AT1" s="44"/>
      <c r="AU1" s="44"/>
      <c r="AV1" s="44"/>
      <c r="AW1" s="46" t="s">
        <v>236</v>
      </c>
      <c r="AX1" s="47"/>
      <c r="AY1" s="48"/>
      <c r="AZ1" s="44"/>
      <c r="BA1" s="44"/>
      <c r="BB1" s="44"/>
      <c r="BC1" s="44"/>
      <c r="BD1" s="44"/>
      <c r="BE1" s="44" t="s">
        <v>237</v>
      </c>
      <c r="BF1" s="44"/>
      <c r="BG1" s="44"/>
      <c r="BH1" s="44"/>
      <c r="BI1" s="46" t="s">
        <v>236</v>
      </c>
      <c r="BJ1" s="48"/>
      <c r="BK1" s="47"/>
      <c r="BL1" s="47"/>
      <c r="BM1" s="46" t="s">
        <v>440</v>
      </c>
      <c r="BN1" s="47"/>
      <c r="BO1" s="47"/>
      <c r="BP1" s="44"/>
      <c r="BQ1" s="46" t="s">
        <v>236</v>
      </c>
      <c r="BR1" s="47"/>
      <c r="BS1" s="48"/>
      <c r="BT1" s="44"/>
      <c r="BU1" s="44" t="s">
        <v>238</v>
      </c>
      <c r="BV1" s="44"/>
      <c r="BW1" s="44"/>
      <c r="BX1" s="44"/>
      <c r="BY1" s="46" t="s">
        <v>236</v>
      </c>
      <c r="BZ1" s="47"/>
      <c r="CA1" s="47"/>
      <c r="CB1" s="47"/>
      <c r="CC1" s="46" t="s">
        <v>440</v>
      </c>
      <c r="CD1" s="47"/>
      <c r="CE1" s="47"/>
      <c r="CF1" s="44"/>
      <c r="CG1" s="44" t="s">
        <v>239</v>
      </c>
      <c r="CH1" s="44"/>
      <c r="CI1" s="44"/>
      <c r="CJ1" s="44"/>
      <c r="CK1" s="46" t="s">
        <v>236</v>
      </c>
      <c r="CL1" s="47"/>
      <c r="CM1" s="47"/>
      <c r="CN1" s="44"/>
      <c r="CO1" s="44" t="s">
        <v>240</v>
      </c>
      <c r="CP1" s="44"/>
      <c r="CQ1" s="44"/>
      <c r="CR1" s="44"/>
      <c r="CS1" s="46" t="s">
        <v>236</v>
      </c>
      <c r="CT1" s="47"/>
      <c r="CU1" s="44"/>
      <c r="CV1" s="44"/>
      <c r="CW1" s="44" t="s">
        <v>59</v>
      </c>
      <c r="CX1" s="44"/>
      <c r="CY1" s="44"/>
      <c r="CZ1" s="44"/>
      <c r="DA1" s="44" t="s">
        <v>60</v>
      </c>
      <c r="DB1" s="44"/>
      <c r="DC1" s="44"/>
      <c r="DD1" s="44"/>
      <c r="DE1" s="44" t="s">
        <v>241</v>
      </c>
      <c r="DF1" s="44"/>
      <c r="DG1" s="44"/>
      <c r="DH1" s="44"/>
      <c r="DI1" s="44" t="s">
        <v>242</v>
      </c>
      <c r="DJ1" s="44"/>
      <c r="DK1" s="44"/>
      <c r="DL1" s="44"/>
      <c r="DM1" s="44" t="s">
        <v>444</v>
      </c>
      <c r="DN1" s="44"/>
      <c r="DO1" s="44"/>
      <c r="DP1" s="44"/>
      <c r="DQ1" s="44" t="s">
        <v>243</v>
      </c>
      <c r="DR1" s="44"/>
      <c r="DS1" s="44"/>
      <c r="DT1" s="44"/>
      <c r="DU1" s="44" t="s">
        <v>244</v>
      </c>
      <c r="DV1" s="44"/>
      <c r="DW1" s="44"/>
      <c r="DX1" s="44"/>
      <c r="DY1" s="44" t="s">
        <v>245</v>
      </c>
      <c r="DZ1" s="44"/>
      <c r="EA1" s="44"/>
      <c r="EB1" s="44"/>
      <c r="EC1" s="44" t="s">
        <v>246</v>
      </c>
      <c r="ED1" s="44"/>
      <c r="EE1" s="44"/>
      <c r="EF1" s="44"/>
      <c r="EG1" s="44" t="s">
        <v>247</v>
      </c>
      <c r="EH1" s="44"/>
      <c r="EI1" s="44"/>
      <c r="EJ1" s="44"/>
      <c r="EK1" s="44" t="s">
        <v>248</v>
      </c>
      <c r="EL1" s="44"/>
      <c r="EM1" s="44"/>
      <c r="EN1" s="44"/>
      <c r="EO1" s="45" t="s">
        <v>249</v>
      </c>
      <c r="EP1" s="44"/>
      <c r="EQ1" s="44"/>
      <c r="ES1" s="2" t="s">
        <v>146</v>
      </c>
      <c r="EW1" s="2" t="s">
        <v>168</v>
      </c>
    </row>
    <row r="2" spans="1:155">
      <c r="A2" s="14" t="str">
        <f>IF(OR(A32=1,A35=1,A41=1),"","Unit 3 - Communicating Ideas in 2D")</f>
        <v>Unit 3 - Communicating Ideas in 2D</v>
      </c>
      <c r="B2" s="47">
        <f>IF(COUNTIF('Extended Certificate'!$G$21:$G$29,A2)&gt;=1,"",ROW())</f>
        <v>2</v>
      </c>
      <c r="C2" s="47" t="str">
        <f>IF(ROW(A2)-ROW(A$2)+1&gt;COUNT(B$2:B$19),"",INDEX(A:A,SMALL(B$2:B$19,1+ROW(A2)-ROW(A$2))))</f>
        <v>Unit 3 - Communicating Ideas in 2D</v>
      </c>
      <c r="E2" s="14" t="str">
        <f>IF(AND(E23=0,E26=1),"","Unit 3 - Promoting a Brand")</f>
        <v>Unit 3 - Promoting a Brand</v>
      </c>
      <c r="F2" s="47">
        <f>IF(COUNTIF('Extended Certificate'!$G$21:$G$29,E2)&gt;=1,"",ROW())</f>
        <v>2</v>
      </c>
      <c r="G2" s="49" t="str">
        <f>IF(ROW(E2)-ROW(E$2)+1&gt;COUNT(F$2:F$15),"",INDEX(E:E,SMALL(F$2:F$15,1+ROW(E2)-ROW(E$2))))</f>
        <v>Unit 3 - Promoting a Brand</v>
      </c>
      <c r="I2" s="14" t="s">
        <v>250</v>
      </c>
      <c r="J2" s="47">
        <f>IF(COUNTIF(Certificate!$G$17:$G$21,I2)&gt;=1,"",ROW())</f>
        <v>2</v>
      </c>
      <c r="K2" s="49" t="str">
        <f>IF(ROW(I2)-ROW(I$2)+1&gt;COUNT(J$2:J$5),"",INDEX(I:I,SMALL(J$2:J$5,1+ROW(I2)-ROW(I$2))))</f>
        <v>Unit 5 - Health and Safety in Early Years Settings</v>
      </c>
      <c r="L2" s="47"/>
      <c r="M2" s="14" t="str">
        <f>IF(OR(P20=1,P23=1,P26=1,P29=1,P32=1),"","Unit 4 - Construction Processes and Operations")</f>
        <v>Unit 4 - Construction Processes and Operations</v>
      </c>
      <c r="N2" s="47">
        <f>IF(COUNTIF('Extended Certificate'!$G$21:$G$29,M2)&gt;=1,"",ROW())</f>
        <v>2</v>
      </c>
      <c r="O2" s="49" t="str">
        <f>IF(ROW(M2)-ROW(M$2)+1&gt;COUNT(N$2:N$17),"",INDEX(M:M,SMALL(N$2:N$17,1+ROW(M2)-ROW(M$2))))</f>
        <v>Unit 4 - Construction Processes and Operations</v>
      </c>
      <c r="P2" s="47"/>
      <c r="Q2" s="14" t="s">
        <v>20</v>
      </c>
      <c r="R2" s="47">
        <f>IF(COUNTIF('Extended Certificate'!$G$21:$G$29,Q2)&gt;=1,"",ROW())</f>
        <v>2</v>
      </c>
      <c r="S2" s="49" t="str">
        <f>IF(ROW(Q2)-ROW(Q$2)+1&gt;COUNT(R$2:R$6),"",INDEX(Q:Q,SMALL(R$2:R$6,1+ROW(Q2)-ROW(Q$2))))</f>
        <v>Unit 3 - Digital Moving Image Production</v>
      </c>
      <c r="T2" s="47"/>
      <c r="U2" s="14" t="s">
        <v>102</v>
      </c>
      <c r="V2" s="47">
        <f>IF(COUNTIF('Extended Certificate'!$G$21:$G$29,U2)&gt;=1,"",ROW())</f>
        <v>2</v>
      </c>
      <c r="W2" s="49" t="str">
        <f>IF(ROW(U2)-ROW(U$2)+1&gt;COUNT(V$2:V$17),"",INDEX(U:U,SMALL(V$2:V$17,1+ROW(U2)-ROW(U$2))))</f>
        <v>Unit 3 - Health and Safety in Engineering</v>
      </c>
      <c r="X2" s="47"/>
      <c r="Y2" s="14" t="s">
        <v>251</v>
      </c>
      <c r="Z2" s="47">
        <f>IF(COUNTIF('Extended Certificate'!$G$21:$G$29,Y2)&gt;=1,"",ROW())</f>
        <v>2</v>
      </c>
      <c r="AA2" s="49" t="str">
        <f>IF(ROW(Y2)-ROW(Y$2)+1&gt;COUNT(Z$2:Z$11),"",INDEX(Y:Y,SMALL(Z$2:Z$11,1+ROW(Y2)-ROW(Y$2))))</f>
        <v>Unit 4 - Social Influences on Health and Wellbeing</v>
      </c>
      <c r="AB2" s="47"/>
      <c r="AC2" s="14" t="str">
        <f>IF(AND(AF17=1,AF14=0),"","Unit 4 - Costing and Controlling Finances in the Hospitality Industry")</f>
        <v>Unit 4 - Costing and Controlling Finances in the Hospitality Industry</v>
      </c>
      <c r="AD2" s="47">
        <f>IF(COUNTIF('Extended Certificate'!$G$21:$G$29,AC2)&gt;=1,"",ROW())</f>
        <v>2</v>
      </c>
      <c r="AE2" s="49" t="str">
        <f>IF(ROW(AC2)-ROW(AC$2)+1&gt;COUNT(AD$2:AD$6),"",INDEX(AC:AC,SMALL(AD$2:AD$6,1+ROW(AC2)-ROW(AC$2))))</f>
        <v>Unit 4 - Costing and Controlling Finances in the Hospitality Industry</v>
      </c>
      <c r="AF2" s="47"/>
      <c r="AG2" s="14" t="s">
        <v>252</v>
      </c>
      <c r="AH2" s="47">
        <f>IF(COUNTIF(Certificate!$G$17:$G$21,AG2)&gt;=1,"",ROW())</f>
        <v>2</v>
      </c>
      <c r="AI2" s="49" t="str">
        <f>IF(ROW(AG2)-ROW(AG$2)+1&gt;COUNT(AH$2:AH$3),"",INDEX(AG:AG,SMALL(AH$2:AH$3,1+ROW(AG2)-ROW(AG$2))))</f>
        <v>Unit 1 - The Online World</v>
      </c>
      <c r="AJ2" s="47"/>
      <c r="AK2" s="14" t="s">
        <v>253</v>
      </c>
      <c r="AL2" s="47">
        <f>IF(COUNTIF('Extended Certificate'!$G$21:$G$29,AK2)&gt;=1,"",ROW())</f>
        <v>2</v>
      </c>
      <c r="AM2" s="49" t="str">
        <f>IF(ROW(AK2)-ROW(AK$2)+1&gt;COUNT(AL$2:AL$15),"",INDEX(AK:AK,SMALL(AL$2:AL$15,1+ROW(AK2)-ROW(AK$2))))</f>
        <v>Unit 4 - Creating Digital Animation</v>
      </c>
      <c r="AN2" s="47"/>
      <c r="AO2" s="14" t="s">
        <v>31</v>
      </c>
      <c r="AP2" s="47">
        <f>IF(COUNTIF('Extended Certificate'!$G$21:$G$29,AO2)&gt;=1,"",ROW())</f>
        <v>2</v>
      </c>
      <c r="AQ2" s="49" t="str">
        <f>IF(ROW(AO2)-ROW(AO$2)+1&gt;COUNT(AP$2:AP$8),"",INDEX(AO:AO,SMALL(AP$2:AP$8,1+ROW(AO2)-ROW(AO$2))))</f>
        <v>Unit 3 - Introducing Live Sound</v>
      </c>
      <c r="AR2" s="47"/>
      <c r="AS2" s="14" t="s">
        <v>120</v>
      </c>
      <c r="AT2" s="50">
        <f>IF(COUNTIF('Extended Certificate'!$G$21:$G$29,AS2)&gt;=1,"",ROW())</f>
        <v>2</v>
      </c>
      <c r="AU2" s="49" t="str">
        <f t="shared" ref="AU2:AU7" si="0">IF(ROW(AS2)-ROW(AS$2)+1&gt;COUNT(AT$2:AT$6),"",INDEX(AS:AS,SMALL(AT$2:AT$6,1+ROW(AS2)-ROW(AS$2))))</f>
        <v>Unit 3 - Acting Skills</v>
      </c>
      <c r="AV2" s="47"/>
      <c r="AW2" s="14" t="s">
        <v>254</v>
      </c>
      <c r="AX2" s="50">
        <f>IF(COUNTIF('Extended Certificate'!$G$31:$G$37,AW2)&gt;=1,"",ROW())</f>
        <v>2</v>
      </c>
      <c r="AY2" s="49" t="str">
        <f>IF(ROW(AW2)-ROW(AW$2)+1&gt;COUNT(AX$2:AX$22),"",INDEX(AW:AW,SMALL(AX$2:AX$22,1+ROW(AW2)-ROW(AW$2))))</f>
        <v>Unit 9 - Performance in Context</v>
      </c>
      <c r="AZ2" s="47"/>
      <c r="BA2" s="14" t="s">
        <v>254</v>
      </c>
      <c r="BB2" s="50">
        <f>IF(COUNTIF(Certificate!$G$23:$G$25,BA2)&gt;=1,"",ROW())</f>
        <v>2</v>
      </c>
      <c r="BC2" s="49" t="str">
        <f t="shared" ref="BC2:BC22" si="1">IF(ROW(BA2)-ROW(BA$2)+1&gt;COUNT(BB$2:BB$22),"",INDEX(BA:BA,SMALL(BB$2:BB$22,1+ROW(BA2)-ROW(BA$2))))</f>
        <v>Unit 9 - Performance in Context</v>
      </c>
      <c r="BD2" s="47"/>
      <c r="BE2" s="14" t="s">
        <v>254</v>
      </c>
      <c r="BF2" s="50">
        <f>IF(COUNTIF('Extended Certificate'!$G$21:$G$29,BE2)&gt;=1,"",ROW())</f>
        <v>2</v>
      </c>
      <c r="BG2" s="49" t="str">
        <f>IF(ROW(BE2)-ROW(BE$2)+1&gt;COUNT(BF$2:BF$8),"",INDEX(BE:BE,SMALL(BF$2:BF$8,1+ROW(BE2)-ROW(BE$2))))</f>
        <v>Unit 9 - Performance in Context</v>
      </c>
      <c r="BH2" s="47"/>
      <c r="BI2" s="14" t="s">
        <v>255</v>
      </c>
      <c r="BJ2" s="50">
        <f>IF(COUNTIF('Extended Certificate'!$G$31:$G$37,BI2)&gt;=1,"",ROW())</f>
        <v>2</v>
      </c>
      <c r="BK2" s="47" t="str">
        <f>IF(ROW(BI2)-ROW(BI$2)+1&gt;COUNT(BJ$2:BJ$4),"",INDEX(BI:BI,SMALL(BJ$2:BJ$4,1+ROW(BI2)-ROW(BI$2))))</f>
        <v>Unit 16 - Contemporary Dance Techniques</v>
      </c>
      <c r="BL2" s="47"/>
      <c r="BM2" s="14" t="s">
        <v>269</v>
      </c>
      <c r="BN2" s="50">
        <f>IF(COUNTIF('Extended Certificate'!$G$39,BM2)&gt;=1,"",ROW())</f>
        <v>2</v>
      </c>
      <c r="BO2" s="47" t="str">
        <f t="shared" ref="BO2:BO10" si="2">IF(ROW(BM2)-ROW(BM$2)+1&gt;COUNT(BN$2:BN$10),"",INDEX(BM:BM,SMALL(BN$2:BN$10,1+ROW(BM2)-ROW(BM$2))))</f>
        <v>Unit 19 - Design Planning for Performance</v>
      </c>
      <c r="BP2" s="47"/>
      <c r="BQ2" s="51" t="s">
        <v>256</v>
      </c>
      <c r="BR2" s="50">
        <f>IF(COUNTIF(Certificate!$G$23:$G$23,BQ2)&gt;=1,"",ROW())</f>
        <v>2</v>
      </c>
      <c r="BS2" s="51" t="s">
        <v>256</v>
      </c>
      <c r="BT2" s="47"/>
      <c r="BU2" s="14" t="s">
        <v>254</v>
      </c>
      <c r="BV2" s="50">
        <f>IF(COUNTIF('Extended Certificate'!$G$21:$G$29,BU2)&gt;=1,"",ROW())</f>
        <v>2</v>
      </c>
      <c r="BW2" s="49" t="str">
        <f t="shared" ref="BW2:BW7" si="3">IF(ROW(BU2)-ROW(BU$2)+1&gt;COUNT(BV$2:BV$7),"",INDEX(BU:BU,SMALL(BV$2:BV$7,1+ROW(BU2)-ROW(BU$2))))</f>
        <v>Unit 9 - Performance in Context</v>
      </c>
      <c r="BX2" s="47"/>
      <c r="BY2" s="14" t="s">
        <v>257</v>
      </c>
      <c r="BZ2" s="50">
        <f>IF(COUNTIF('Extended Certificate'!$G$31:$G$37,BY2)&gt;=1,"",ROW())</f>
        <v>2</v>
      </c>
      <c r="CA2" s="47" t="str">
        <f>IF(ROW(BY2)-ROW(BY$2)+1&gt;COUNT(BZ$2:BZ$3),"",INDEX(BY:BY,SMALL(BZ$2:BZ$3,1+ROW(BY2)-ROW(BY$2))))</f>
        <v>Unit 14 - Voice and Speech for Performers</v>
      </c>
      <c r="CB2" s="47"/>
      <c r="CC2" s="14" t="s">
        <v>269</v>
      </c>
      <c r="CD2" s="50">
        <f>IF(COUNTIF('Extended Certificate'!$G$39,CC2)&gt;=1,"",ROW())</f>
        <v>2</v>
      </c>
      <c r="CE2" s="47" t="str">
        <f>IF(ROW(CC2)-ROW(CC$2)+1&gt;COUNT(CD$2:CD$10),"",INDEX(CC:CC,SMALL(CD$2:CD$10,1+ROW(CC2)-ROW(CC$2))))</f>
        <v>Unit 19 - Design Planning for Performance</v>
      </c>
      <c r="CF2" s="47"/>
      <c r="CG2" s="14" t="s">
        <v>254</v>
      </c>
      <c r="CH2" s="50">
        <f>IF(COUNTIF('Extended Certificate'!$G$21:$G$29,CG2)&gt;=1,"",ROW())</f>
        <v>2</v>
      </c>
      <c r="CI2" s="49" t="str">
        <f>IF(ROW(CG2)-ROW(CG$2)+1&gt;COUNT(CH$2:CH$6),"",INDEX(CG:CG,SMALL(CH$2:CH$6,1+ROW(CG2)-ROW(CG$2))))</f>
        <v>Unit 9 - Performance in Context</v>
      </c>
      <c r="CJ2" s="47"/>
      <c r="CK2" s="14" t="s">
        <v>258</v>
      </c>
      <c r="CL2" s="50">
        <f>IF(COUNTIF(Certificate!$G$23:$G$25,CK2)&gt;=1,"",ROW())</f>
        <v>2</v>
      </c>
      <c r="CM2" s="47" t="str">
        <f t="shared" ref="CM2:CM14" si="4">IF(ROW(CK2)-ROW(CK$2)+1&gt;COUNT(CL$2:CL$14),"",INDEX(CK:CK,SMALL(CL$2:CL$14,1+ROW(CK2)-ROW(CK$2))))</f>
        <v>Unit 15 - Performing Scripted Plays</v>
      </c>
      <c r="CN2" s="47"/>
      <c r="CO2" s="14" t="s">
        <v>254</v>
      </c>
      <c r="CP2" s="50">
        <f>IF(COUNTIF('Extended Certificate'!$G$21:$G$29,CO2)&gt;=1,"",ROW())</f>
        <v>2</v>
      </c>
      <c r="CQ2" s="49" t="str">
        <f t="shared" ref="CQ2:CQ11" si="5">IF(ROW(CO2)-ROW(CO$2)+1&gt;COUNT(CP$2:CP$11),"",INDEX(CO:CO,SMALL(CP$2:CP$11,1+ROW(CO2)-ROW(CO$2))))</f>
        <v>Unit 9 - Performance in Context</v>
      </c>
      <c r="CR2" s="47"/>
      <c r="CS2" t="s">
        <v>267</v>
      </c>
      <c r="CT2" s="50">
        <f>IF(COUNTIF('Extended Certificate'!$G$31:$G$37,CS2)&gt;=1,"",ROW())</f>
        <v>2</v>
      </c>
      <c r="CU2" s="47" t="str">
        <f>IF(ROW(CS2)-ROW(CS$2)+1&gt;COUNT(CT$2:CT$10),"",INDEX(CS:CS,SMALL(CT$2:CT$10,1+ROW(CS2)-ROW(CS$2))))</f>
        <v>Unit 10 - Movement Skills</v>
      </c>
      <c r="CV2" s="47"/>
      <c r="CW2" s="14" t="s">
        <v>125</v>
      </c>
      <c r="CX2" s="47">
        <f>IF(COUNTIF('Extended Certificate'!$G$21:$G$29,CW2)&gt;=1,"",ROW())</f>
        <v>2</v>
      </c>
      <c r="CY2" s="49" t="str">
        <f>IF(ROW(CW2)-ROW(CW$2)+1&gt;COUNT(CX$2:CX$11),"",INDEX(CW:CW,SMALL(CX$2:CX$11,1+ROW(CW2)-ROW(CW$2))))</f>
        <v>Unit 3 - The Mind and Sports Performance</v>
      </c>
      <c r="CZ2" s="47"/>
      <c r="DA2" s="14" t="s">
        <v>260</v>
      </c>
      <c r="DB2" s="47">
        <f>IF(COUNTIF('Extended Certificate'!$G$21:$G$29,DA2)&gt;=1,"",ROW())</f>
        <v>2</v>
      </c>
      <c r="DC2" s="49" t="str">
        <f>IF(ROW(DA2)-ROW(DA$2)+1&gt;COUNT(DB$2:DB$12),"",INDEX(DA:DA,SMALL(DB$2:DB$12,1+ROW(DA2)-ROW(DA$2))))</f>
        <v>Unit 3 - The Development of Travel and Tourism in the UK</v>
      </c>
      <c r="DD2" s="47"/>
      <c r="DE2" s="47" t="s">
        <v>43</v>
      </c>
      <c r="DF2" s="47">
        <f>IF(COUNTIF('Extended Certificate'!$G$31:$G$37,DE2)&gt;=1,"",ROW())</f>
        <v>2</v>
      </c>
      <c r="DG2" s="49" t="str">
        <f>IF(ROW(DE2)-ROW(DE$2)+1&gt;COUNT(DF$2:DF$11),"",INDEX(DE:DE,SMALL(DF$2:DF$11,1+ROW(DE2)-ROW(DE$2))))</f>
        <v>Unit 9 - Digital Editing for Moving Image</v>
      </c>
      <c r="DH2" s="47"/>
      <c r="DI2" s="47" t="str">
        <f>IF(DI17=1,"","Unit 3 - Communicating Ideas in 2D")</f>
        <v>Unit 3 - Communicating Ideas in 2D</v>
      </c>
      <c r="DJ2" s="47">
        <f>IF(COUNTIF('Extended Certificate'!$G$21:$G$29,DI2)&gt;=1,"",ROW())</f>
        <v>2</v>
      </c>
      <c r="DK2" s="49" t="str">
        <f>IF(ROW(DI2)-ROW(DI$2)+1&gt;COUNT(DJ$2:DJ$9),"",INDEX(DI:DI,SMALL(DJ$2:DJ$9,1+ROW(DI2)-ROW(DI$2))))</f>
        <v>Unit 3 - Communicating Ideas in 2D</v>
      </c>
      <c r="DL2" s="47"/>
      <c r="DM2" s="47" t="s">
        <v>84</v>
      </c>
      <c r="DN2" s="47">
        <f>IF(COUNTIF('Extended Certificate'!$G$21:$G$29,DM2)&gt;=1,"",ROW())</f>
        <v>2</v>
      </c>
      <c r="DO2" s="49" t="str">
        <f>IF(ROW(DM2)-ROW(DM$2)+1&gt;COUNT(DN$2:DN$9),"",INDEX(DM:DM,SMALL(DN$2:DN$9,1+ROW(DM2)-ROW(DM$2))))</f>
        <v>Unit 3 - Communicating Ideas in 2D</v>
      </c>
      <c r="DP2" s="47"/>
      <c r="DQ2" s="47" t="s">
        <v>84</v>
      </c>
      <c r="DR2" s="47">
        <f>IF(COUNTIF('Extended Certificate'!$G$21:$G$29,DQ2)&gt;=1,"",ROW())</f>
        <v>2</v>
      </c>
      <c r="DS2" s="49" t="str">
        <f>IF(ROW(DQ2)-ROW(DQ$2)+1&gt;COUNT(DR$2:DR$11),"",INDEX(DQ:DQ,SMALL(DR$2:DR$11,1+ROW(DQ2)-ROW(DQ$2))))</f>
        <v>Unit 3 - Communicating Ideas in 2D</v>
      </c>
      <c r="DT2" s="47"/>
      <c r="DU2" s="47" t="str">
        <f>IF(DU18=1,"","Unit 3 - Communicating Ideas in 2D")</f>
        <v>Unit 3 - Communicating Ideas in 2D</v>
      </c>
      <c r="DV2" s="47">
        <f>IF(COUNTIF('Extended Certificate'!$G$21:$G$29,DU2)&gt;=1,"",ROW())</f>
        <v>2</v>
      </c>
      <c r="DW2" s="49" t="str">
        <f>IF(ROW(DU2)-ROW(DU$2)+1&gt;COUNT(DV$2:DV$12),"",INDEX(DU:DU,SMALL(DV$2:DV$12,1+ROW(DU2)-ROW(DU$2))))</f>
        <v>Unit 3 - Communicating Ideas in 2D</v>
      </c>
      <c r="DX2" s="47"/>
      <c r="DY2" s="47" t="s">
        <v>261</v>
      </c>
      <c r="DZ2" s="47">
        <f>IF(COUNTIF('Extended Certificate'!$G$21:$G$29,DY2)&gt;=1,"",ROW())</f>
        <v>2</v>
      </c>
      <c r="EA2" s="49" t="str">
        <f>IF(ROW(DY2)-ROW(DY$2)+1&gt;COUNT(DZ$2:DZ$12),"",INDEX(DY:DY,SMALL(DZ$2:DZ$12,1+ROW(DY2)-ROW(DY$2))))</f>
        <v>Unit 5 - Developing an Art and Design Portfolio</v>
      </c>
      <c r="EB2" s="47"/>
      <c r="EC2" s="47" t="s">
        <v>262</v>
      </c>
      <c r="ED2" s="47">
        <f>IF(COUNTIF('Extended Certificate'!$G$21:$G$29,EC2)&gt;=1,"",ROW())</f>
        <v>2</v>
      </c>
      <c r="EE2" s="49" t="str">
        <f>IF(ROW(EC2)-ROW(EC$2)+1&gt;COUNT(ED$2:ED$10),"",INDEX(EC:EC,SMALL(ED$2:ED$10,1+ROW(EC2)-ROW(EC$2))))</f>
        <v>Unit 4 - Communicating Ideas in 3D</v>
      </c>
      <c r="EF2" s="47"/>
      <c r="EG2" s="47" t="s">
        <v>263</v>
      </c>
      <c r="EH2" s="47">
        <f>IF(COUNTIF(Certificate!$G$17:$G$21,EG2)&gt;=1,"",ROW())</f>
        <v>2</v>
      </c>
      <c r="EI2" s="49" t="s">
        <v>263</v>
      </c>
      <c r="EJ2" s="47"/>
      <c r="EK2" s="14" t="s">
        <v>116</v>
      </c>
      <c r="EL2" s="47">
        <f>IF(COUNTIF('Extended Certificate'!$G$31:$G$37,EK2)&gt;=1,"",ROW())</f>
        <v>2</v>
      </c>
      <c r="EM2" s="49" t="str">
        <f>IF(ROW(EK2)-ROW(EK$2)+1&gt;COUNT(EL$2:EL$8),"",INDEX(EK:EK,SMALL(EL$2:EL$8,1+ROW(EK2)-ROW(EK$2))))</f>
        <v>Unit 5 - Enterprise in the Hospitality Industry</v>
      </c>
      <c r="EN2" s="47"/>
      <c r="EO2" s="47" t="s">
        <v>362</v>
      </c>
      <c r="EP2" s="47">
        <f>IF(COUNTIF('Extended Certificate'!$G$31:$G$37,EO2)&gt;=1,"",ROW())</f>
        <v>2</v>
      </c>
      <c r="EQ2" s="49" t="str">
        <f>IF(ROW(EO2)-ROW(EO$2)+1&gt;COUNT(EP$2:EP$12),"",INDEX(EO:EO,SMALL(EP$2:EP$12,1+ROW(EO2)-ROW(EO$2))))</f>
        <v>Unit 11 - Developing Solo Music Performance</v>
      </c>
      <c r="ES2" s="14" t="s">
        <v>396</v>
      </c>
      <c r="ET2" s="47">
        <f>IF(COUNTIF('Extended Certificate'!$G$21:$G$29,ES2)&gt;=1,"",ROW())</f>
        <v>2</v>
      </c>
      <c r="EU2" s="49" t="str">
        <f>IF(ROW(ES2)-ROW(ES$2)+1&gt;COUNT(ET$2:ET$17),"",INDEX(ES:ES,SMALL(ET$2:ET$17,1+ROW(ES2)-ROW(ES$2))))</f>
        <v xml:space="preserve">Unit 9 - Practical Scientific Project </v>
      </c>
      <c r="EW2" t="s">
        <v>171</v>
      </c>
      <c r="EX2" s="47">
        <f>IF(COUNTIF('Extended Certificate'!$G$21:$G$29,EW2)&gt;=1,"",ROW())</f>
        <v>2</v>
      </c>
      <c r="EY2" s="49" t="str">
        <f>IF(ROW(EW2)-ROW(EW$2)+1&gt;COUNT(EX$2:EX$15),"",INDEX(EW:EW,SMALL(EX$2:EX$15,1+ROW(EW2)-ROW(EW$2))))</f>
        <v>Unit 3 - Employment in the Public Services</v>
      </c>
    </row>
    <row r="3" spans="1:155">
      <c r="A3" s="14" t="str">
        <f>IF(OR(A29=1,A35=1,A38=1,A44=1),"","Unit 4 - Communicating Ideas in 3D")</f>
        <v>Unit 4 - Communicating Ideas in 3D</v>
      </c>
      <c r="B3" s="47">
        <f>IF(COUNTIF('Extended Certificate'!$G$21:$G$29,A3)&gt;=1,"",ROW())</f>
        <v>3</v>
      </c>
      <c r="C3" s="47" t="str">
        <f t="shared" ref="C3:C18" si="6">IF(ROW(A3)-ROW(A$2)+1&gt;COUNT(B$2:B$19),"",INDEX(A:A,SMALL(B$2:B$19,1+ROW(A3)-ROW(A$2))))</f>
        <v>Unit 4 - Communicating Ideas in 3D</v>
      </c>
      <c r="E3" s="14" t="s">
        <v>89</v>
      </c>
      <c r="F3" s="47">
        <f>IF(COUNTIF('Extended Certificate'!$G$21:$G$29,E3)&gt;=1,"",ROW())</f>
        <v>3</v>
      </c>
      <c r="G3" s="49" t="str">
        <f t="shared" ref="G3:G15" si="7">IF(ROW(E3)-ROW(E$2)+1&gt;COUNT(F$2:F$15),"",INDEX(E:E,SMALL(F$2:F$15,1+ROW(E3)-ROW(E$2))))</f>
        <v>Unit 4 - Principles of Customer Service</v>
      </c>
      <c r="I3" s="23" t="s">
        <v>264</v>
      </c>
      <c r="J3" s="47">
        <f>IF(COUNTIF(Certificate!$G$17:$G$21,I3)&gt;=1,"",ROW())</f>
        <v>3</v>
      </c>
      <c r="K3" s="49" t="str">
        <f>IF(ROW(I3)-ROW(I$2)+1&gt;COUNT(J$2:J$5),"",INDEX(I:I,SMALL(J$2:J$5,1+ROW(I3)-ROW(I$2))))</f>
        <v>Unit 6 - Supporting Children’s Language and Literacy Development</v>
      </c>
      <c r="L3" s="47"/>
      <c r="M3" s="14" t="str">
        <f>IF(OR(P20=1,P23=1,P26=1,P29=1,P32=1),"","Unit 5 - Construction Drawing Techniques")</f>
        <v>Unit 5 - Construction Drawing Techniques</v>
      </c>
      <c r="N3" s="47">
        <f>IF(COUNTIF('Extended Certificate'!$G$21:$G$29,M3)&gt;=1,"",ROW())</f>
        <v>3</v>
      </c>
      <c r="O3" s="49" t="str">
        <f t="shared" ref="O3:O17" si="8">IF(ROW(M3)-ROW(M$2)+1&gt;COUNT(N$2:N$17),"",INDEX(M:M,SMALL(N$2:N$17,1+ROW(M3)-ROW(M$2))))</f>
        <v>Unit 5 - Construction Drawing Techniques</v>
      </c>
      <c r="P3" s="47"/>
      <c r="Q3" s="14" t="s">
        <v>21</v>
      </c>
      <c r="R3" s="47">
        <f>IF(COUNTIF('Extended Certificate'!$G$21:$G$29,Q3)&gt;=1,"",ROW())</f>
        <v>3</v>
      </c>
      <c r="S3" s="49" t="str">
        <f t="shared" ref="S3:S6" si="9">IF(ROW(Q3)-ROW(Q$2)+1&gt;COUNT(R$2:R$6),"",INDEX(Q:Q,SMALL(R$2:R$6,1+ROW(Q3)-ROW(Q$2))))</f>
        <v>Unit 4 - Digital Audio Production</v>
      </c>
      <c r="T3" s="47"/>
      <c r="U3" s="14" t="s">
        <v>103</v>
      </c>
      <c r="V3" s="47">
        <f>IF(COUNTIF('Extended Certificate'!$G$21:$G$29,U3)&gt;=1,"",ROW())</f>
        <v>3</v>
      </c>
      <c r="W3" s="49" t="str">
        <f t="shared" ref="W3:W17" si="10">IF(ROW(U3)-ROW(U$2)+1&gt;COUNT(V$2:V$17),"",INDEX(U:U,SMALL(V$2:V$17,1+ROW(U3)-ROW(U$2))))</f>
        <v>Unit 4 - Engineering Maintenance</v>
      </c>
      <c r="X3" s="47"/>
      <c r="Y3" s="14" t="s">
        <v>265</v>
      </c>
      <c r="Z3" s="47">
        <f>IF(COUNTIF('Extended Certificate'!$G$21:$G$29,Y3)&gt;=1,"",ROW())</f>
        <v>3</v>
      </c>
      <c r="AA3" s="49" t="str">
        <f t="shared" ref="AA3:AA11" si="11">IF(ROW(Y3)-ROW(Y$2)+1&gt;COUNT(Z$2:Z$11),"",INDEX(Y:Y,SMALL(Z$2:Z$11,1+ROW(Y3)-ROW(Y$2))))</f>
        <v>Unit 5 - Promoting Health and Wellbeing</v>
      </c>
      <c r="AB3" s="47"/>
      <c r="AC3" s="14" t="str">
        <f>IF(AND(AF17=0,AF14=1),"","Unit 6 - Planning, Preparing, Cooking and Finishing Food")</f>
        <v>Unit 6 - Planning, Preparing, Cooking and Finishing Food</v>
      </c>
      <c r="AD3" s="47">
        <f>IF(COUNTIF('Extended Certificate'!$G$21:$G$29,AC3)&gt;=1,"",ROW())</f>
        <v>3</v>
      </c>
      <c r="AE3" s="49" t="str">
        <f t="shared" ref="AE3:AE6" si="12">IF(ROW(AC3)-ROW(AC$2)+1&gt;COUNT(AD$2:AD$6),"",INDEX(AC:AC,SMALL(AD$2:AD$6,1+ROW(AC3)-ROW(AC$2))))</f>
        <v>Unit 6 - Planning, Preparing, Cooking and Finishing Food</v>
      </c>
      <c r="AF3" s="47"/>
      <c r="AG3" s="14" t="s">
        <v>266</v>
      </c>
      <c r="AH3" s="47">
        <f>IF(COUNTIF(Certificate!$G$17:$G$21,AG3)&gt;=1,"",ROW())</f>
        <v>3</v>
      </c>
      <c r="AI3" s="49" t="str">
        <f>IF(ROW(AG3)-ROW(AG$2)+1&gt;COUNT(AH$2:AH$3),"",INDEX(AG:AG,SMALL(AH$2:AH$3,1+ROW(AG3)-ROW(AG$2))))</f>
        <v>Unit 2 - Technology Systems</v>
      </c>
      <c r="AJ3" s="47"/>
      <c r="AK3" s="23" t="s">
        <v>140</v>
      </c>
      <c r="AL3" s="47">
        <f>IF(COUNTIF('Extended Certificate'!$G$21:$G$29,AK3)&gt;=1,"",ROW())</f>
        <v>3</v>
      </c>
      <c r="AM3" s="49" t="str">
        <f t="shared" ref="AM3:AM15" si="13">IF(ROW(AK3)-ROW(AK$2)+1&gt;COUNT(AL$2:AL$15),"",INDEX(AK:AK,SMALL(AL$2:AL$15,1+ROW(AK3)-ROW(AK$2))))</f>
        <v>Unit 5 - Creating Digital Audio</v>
      </c>
      <c r="AN3" s="47"/>
      <c r="AO3" s="14" t="s">
        <v>32</v>
      </c>
      <c r="AP3" s="47">
        <f>IF(COUNTIF('Extended Certificate'!$G$21:$G$29,AO3)&gt;=1,"",ROW())</f>
        <v>3</v>
      </c>
      <c r="AQ3" s="49" t="str">
        <f t="shared" ref="AQ3:AQ8" si="14">IF(ROW(AO3)-ROW(AO$2)+1&gt;COUNT(AP$2:AP$8),"",INDEX(AO:AO,SMALL(AP$2:AP$8,1+ROW(AO3)-ROW(AO$2))))</f>
        <v>Unit 4 - Introducing Music Composition</v>
      </c>
      <c r="AR3" s="47"/>
      <c r="AS3" s="14" t="s">
        <v>121</v>
      </c>
      <c r="AT3" s="50">
        <f>IF(COUNTIF('Extended Certificate'!$G$21:$G$29,AS3)&gt;=1,"",ROW())</f>
        <v>3</v>
      </c>
      <c r="AU3" s="49" t="str">
        <f t="shared" si="0"/>
        <v>Unit 4 - Dance Skills</v>
      </c>
      <c r="AV3" s="47"/>
      <c r="AW3" s="14" t="s">
        <v>267</v>
      </c>
      <c r="AX3" s="50">
        <f>IF(COUNTIF('Extended Certificate'!$G$31:$G$37,AW3)&gt;=1,"",ROW())</f>
        <v>3</v>
      </c>
      <c r="AY3" s="49" t="str">
        <f>IF(ROW(AW3)-ROW(AW$2)+1&gt;COUNT(AX$2:AX$22),"",INDEX(AW:AW,SMALL(AX$2:AX$22,1+ROW(AW3)-ROW(AW$2))))</f>
        <v>Unit 10 - Movement Skills</v>
      </c>
      <c r="AZ3" s="47"/>
      <c r="BA3" s="14" t="s">
        <v>267</v>
      </c>
      <c r="BB3" s="50">
        <f>IF(COUNTIF(Certificate!$G$23:$G$25,BA3)&gt;=1,"",ROW())</f>
        <v>3</v>
      </c>
      <c r="BC3" s="49" t="str">
        <f t="shared" si="1"/>
        <v>Unit 10 - Movement Skills</v>
      </c>
      <c r="BD3" s="47"/>
      <c r="BE3" s="14" t="s">
        <v>267</v>
      </c>
      <c r="BF3" s="50">
        <f>IF(COUNTIF('Extended Certificate'!$G$21:$G$29,BE3)&gt;=1,"",ROW())</f>
        <v>3</v>
      </c>
      <c r="BG3" s="49" t="str">
        <f t="shared" ref="BG3:BG8" si="15">IF(ROW(BE3)-ROW(BE$2)+1&gt;COUNT(BF$2:BF$8),"",INDEX(BE:BE,SMALL(BF$2:BF$8,1+ROW(BE3)-ROW(BE$2))))</f>
        <v>Unit 10 - Movement Skills</v>
      </c>
      <c r="BH3" s="47"/>
      <c r="BI3" s="14" t="s">
        <v>268</v>
      </c>
      <c r="BJ3" s="50">
        <f>IF(COUNTIF('Extended Certificate'!$G$31:$G$37,BI3)&gt;=1,"",ROW())</f>
        <v>3</v>
      </c>
      <c r="BK3" s="47" t="str">
        <f t="shared" ref="BK3:BK4" si="16">IF(ROW(BI3)-ROW(BI$2)+1&gt;COUNT(BJ$2:BJ$13),"",INDEX(BI:BI,SMALL(BJ$2:BJ$13,1+ROW(BI3)-ROW(BI$2))))</f>
        <v>Unit 17 - Exploring Urban Dance Styles</v>
      </c>
      <c r="BL3" s="47"/>
      <c r="BM3" s="14" t="s">
        <v>277</v>
      </c>
      <c r="BN3" s="50">
        <f>IF(COUNTIF('Extended Certificate'!$G$39,BM3)&gt;=1,"",ROW())</f>
        <v>3</v>
      </c>
      <c r="BO3" s="47" t="str">
        <f t="shared" si="2"/>
        <v>Unit 20 - Realising Costume Design for Performance</v>
      </c>
      <c r="BP3" s="47"/>
      <c r="BQ3" s="51"/>
      <c r="BR3" s="50"/>
      <c r="BS3" s="51"/>
      <c r="BT3" s="47"/>
      <c r="BU3" s="14" t="s">
        <v>267</v>
      </c>
      <c r="BV3" s="50">
        <f>IF(COUNTIF('Extended Certificate'!$G$21:$G$29,BU3)&gt;=1,"",ROW())</f>
        <v>3</v>
      </c>
      <c r="BW3" s="49" t="str">
        <f t="shared" si="3"/>
        <v>Unit 10 - Movement Skills</v>
      </c>
      <c r="BX3" s="47"/>
      <c r="BY3" s="14" t="s">
        <v>258</v>
      </c>
      <c r="BZ3" s="50">
        <f>IF(COUNTIF('Extended Certificate'!$G$31:$G$37,BY3)&gt;=1,"",ROW())</f>
        <v>3</v>
      </c>
      <c r="CA3" s="47" t="str">
        <f>IF(ROW(BY3)-ROW(BY$2)+1&gt;COUNT(BZ$2:BZ$3),"",INDEX(BY:BY,SMALL(BZ$2:BZ$3,1+ROW(BY3)-ROW(BY$2))))</f>
        <v>Unit 15 - Performing Scripted Plays</v>
      </c>
      <c r="CB3" s="47"/>
      <c r="CC3" s="14" t="s">
        <v>277</v>
      </c>
      <c r="CD3" s="50">
        <f>IF(COUNTIF('Extended Certificate'!$G$39,CC3)&gt;=1,"",ROW())</f>
        <v>3</v>
      </c>
      <c r="CE3" s="47" t="str">
        <f t="shared" ref="CE3:CE10" si="17">IF(ROW(CC3)-ROW(CC$2)+1&gt;COUNT(CD$2:CD$10),"",INDEX(CC:CC,SMALL(CD$2:CD$10,1+ROW(CC3)-ROW(CC$2))))</f>
        <v>Unit 20 - Realising Costume Design for Performance</v>
      </c>
      <c r="CF3" s="47"/>
      <c r="CG3" s="14" t="s">
        <v>267</v>
      </c>
      <c r="CH3" s="50">
        <f>IF(COUNTIF('Extended Certificate'!$G$21:$G$29,CG3)&gt;=1,"",ROW())</f>
        <v>3</v>
      </c>
      <c r="CI3" s="49" t="str">
        <f>IF(ROW(CG3)-ROW(CG$2)+1&gt;COUNT(CH$2:CH$6),"",INDEX(BE:BE,SMALL(CH$2:CH$6,1+ROW(CG3)-ROW(CG$2))))</f>
        <v>Unit 10 - Movement Skills</v>
      </c>
      <c r="CJ3" s="47"/>
      <c r="CK3" s="14" t="s">
        <v>255</v>
      </c>
      <c r="CL3" s="50">
        <f>IF(COUNTIF(Certificate!$G$23:$G$25,CK3)&gt;=1,"",ROW())</f>
        <v>3</v>
      </c>
      <c r="CM3" s="47" t="str">
        <f t="shared" si="4"/>
        <v>Unit 16 - Contemporary Dance Techniques</v>
      </c>
      <c r="CN3" s="47"/>
      <c r="CO3" s="14" t="s">
        <v>269</v>
      </c>
      <c r="CP3" s="50">
        <f>IF(COUNTIF('Extended Certificate'!$G$21:$G$29,CO3)&gt;=1,"",ROW())</f>
        <v>3</v>
      </c>
      <c r="CQ3" s="49" t="str">
        <f t="shared" si="5"/>
        <v>Unit 19 - Design Planning for Performance</v>
      </c>
      <c r="CR3" s="47"/>
      <c r="CS3" s="14" t="s">
        <v>259</v>
      </c>
      <c r="CT3" s="50">
        <f>IF(COUNTIF('Extended Certificate'!$G$31:$G$37,CS3)&gt;=1,"",ROW())</f>
        <v>3</v>
      </c>
      <c r="CU3" s="47" t="str">
        <f t="shared" ref="CU3:CU10" si="18">IF(ROW(CS3)-ROW(CS$2)+1&gt;COUNT(CT$2:CT$10),"",INDEX(CS:CS,SMALL(CT$2:CT$10,1+ROW(CS3)-ROW(CS$2))))</f>
        <v>Unit 11 - Devising Performance Work</v>
      </c>
      <c r="CV3" s="47"/>
      <c r="CW3" s="14" t="s">
        <v>126</v>
      </c>
      <c r="CX3" s="47">
        <f>IF(COUNTIF('Extended Certificate'!$G$21:$G$29,CW3)&gt;=1,"",ROW())</f>
        <v>3</v>
      </c>
      <c r="CY3" s="49" t="str">
        <f t="shared" ref="CY3:CY11" si="19">IF(ROW(CW3)-ROW(CW$2)+1&gt;COUNT(CX$2:CX$11),"",INDEX(CW:CW,SMALL(CX$2:CX$11,1+ROW(CW3)-ROW(CW$2))))</f>
        <v>Unit 4 - The Sports Performer in Action</v>
      </c>
      <c r="CZ3" s="47"/>
      <c r="DA3" s="14" t="s">
        <v>82</v>
      </c>
      <c r="DB3" s="47">
        <f>IF(COUNTIF('Extended Certificate'!$G$21:$G$29,DA3)&gt;=1,"",ROW())</f>
        <v>3</v>
      </c>
      <c r="DC3" s="49" t="str">
        <f t="shared" ref="DC3:DC12" si="20">IF(ROW(DA3)-ROW(DA$2)+1&gt;COUNT(DB$2:DB$12),"",INDEX(DA:DA,SMALL(DB$2:DB$12,1+ROW(DA3)-ROW(DA$2))))</f>
        <v>Unit 5 - Factors Affecting Worldwide Travel and Tourism</v>
      </c>
      <c r="DD3" s="47"/>
      <c r="DE3" s="47" t="s">
        <v>44</v>
      </c>
      <c r="DF3" s="47">
        <f>IF(COUNTIF('Extended Certificate'!$G$31:$G$37,DE3)&gt;=1,"",ROW())</f>
        <v>3</v>
      </c>
      <c r="DG3" s="49" t="str">
        <f t="shared" ref="DG3:DG10" si="21">IF(ROW(DE3)-ROW(DE$2)+1&gt;COUNT(DF$2:DF$11),"",INDEX(DE:DE,SMALL(DF$2:DF$11,1+ROW(DE3)-ROW(DE$2))))</f>
        <v>Unit 10 - Digital Photography for a Media Product</v>
      </c>
      <c r="DH3" s="47"/>
      <c r="DI3" s="47" t="s">
        <v>261</v>
      </c>
      <c r="DJ3" s="47">
        <f>IF(COUNTIF('Extended Certificate'!$G$21:$G$29,DI3)&gt;=1,"",ROW())</f>
        <v>3</v>
      </c>
      <c r="DK3" s="49" t="str">
        <f t="shared" ref="DK3:DK9" si="22">IF(ROW(DI3)-ROW(DI$2)+1&gt;COUNT(DJ$2:DJ$9),"",INDEX(DI:DI,SMALL(DJ$2:DJ$9,1+ROW(DI3)-ROW(DI$2))))</f>
        <v>Unit 5 - Developing an Art and Design Portfolio</v>
      </c>
      <c r="DL3" s="47"/>
      <c r="DM3" s="47" t="s">
        <v>261</v>
      </c>
      <c r="DN3" s="47">
        <f>IF(COUNTIF('Extended Certificate'!$G$21:$G$29,DM3)&gt;=1,"",ROW())</f>
        <v>3</v>
      </c>
      <c r="DO3" s="49" t="str">
        <f t="shared" ref="DO3:DO8" si="23">IF(ROW(DM3)-ROW(DM$2)+1&gt;COUNT(DN$2:DN$9),"",INDEX(DM:DM,SMALL(DN$2:DN$9,1+ROW(DM3)-ROW(DM$2))))</f>
        <v>Unit 5 - Developing an Art and Design Portfolio</v>
      </c>
      <c r="DP3" s="47"/>
      <c r="DQ3" s="47" t="str">
        <f>IF(DQ18=1,"","Unit 4 - Communicating Ideas in 3D")</f>
        <v>Unit 4 - Communicating Ideas in 3D</v>
      </c>
      <c r="DR3" s="47">
        <f>IF(COUNTIF('Extended Certificate'!$G$21:$G$29,DQ3)&gt;=1,"",ROW())</f>
        <v>3</v>
      </c>
      <c r="DS3" s="49" t="str">
        <f t="shared" ref="DS3:DS11" si="24">IF(ROW(DQ3)-ROW(DQ$2)+1&gt;COUNT(DR$2:DR$11),"",INDEX(DQ:DQ,SMALL(DR$2:DR$11,1+ROW(DQ3)-ROW(DQ$2))))</f>
        <v>Unit 4 - Communicating Ideas in 3D</v>
      </c>
      <c r="DT3" s="47"/>
      <c r="DU3" s="47" t="s">
        <v>262</v>
      </c>
      <c r="DV3" s="47">
        <f>IF(COUNTIF('Extended Certificate'!$G$21:$G$29,DU3)&gt;=1,"",ROW())</f>
        <v>3</v>
      </c>
      <c r="DW3" s="49" t="str">
        <f t="shared" ref="DW3:DW12" si="25">IF(ROW(DU3)-ROW(DU$2)+1&gt;COUNT(DV$2:DV$12),"",INDEX(DU:DU,SMALL(DV$2:DV$12,1+ROW(DU3)-ROW(DU$2))))</f>
        <v>Unit 4 - Communicating Ideas in 3D</v>
      </c>
      <c r="DX3" s="47"/>
      <c r="DY3" s="47" t="s">
        <v>270</v>
      </c>
      <c r="DZ3" s="47">
        <f>IF(COUNTIF('Extended Certificate'!$G$21:$G$29,DY3)&gt;=1,"",ROW())</f>
        <v>3</v>
      </c>
      <c r="EA3" s="49" t="str">
        <f t="shared" ref="EA3:EA12" si="26">IF(ROW(DY3)-ROW(DY$2)+1&gt;COUNT(DZ$2:DZ$12),"",INDEX(DY:DY,SMALL(DZ$2:DZ$12,1+ROW(DY3)-ROW(DY$2))))</f>
        <v>Unit 8 - Using Mobile Devices in Art and Design</v>
      </c>
      <c r="EB3" s="47"/>
      <c r="EC3" s="47" t="s">
        <v>261</v>
      </c>
      <c r="ED3" s="47">
        <f>IF(COUNTIF('Extended Certificate'!$G$21:$G$29,EC3)&gt;=1,"",ROW())</f>
        <v>3</v>
      </c>
      <c r="EE3" s="49" t="str">
        <f t="shared" ref="EE3:EE10" si="27">IF(ROW(EC3)-ROW(EC$2)+1&gt;COUNT(ED$2:ED$10),"",INDEX(EC:EC,SMALL(ED$2:ED$10,1+ROW(EC3)-ROW(EC$2))))</f>
        <v>Unit 5 - Developing an Art and Design Portfolio</v>
      </c>
      <c r="EF3" s="47"/>
      <c r="EG3" s="47"/>
      <c r="EH3" s="47"/>
      <c r="EI3" s="49"/>
      <c r="EJ3" s="47"/>
      <c r="EK3" s="14" t="s">
        <v>274</v>
      </c>
      <c r="EL3" s="47">
        <f>IF(COUNTIF('Extended Certificate'!$G$31:$G$37,EK3)&gt;=1,"",ROW())</f>
        <v>3</v>
      </c>
      <c r="EM3" s="49" t="str">
        <f t="shared" ref="EM3:EM8" si="28">IF(ROW(EK3)-ROW(EK$2)+1&gt;COUNT(EL$2:EL$8),"",INDEX(EK:EK,SMALL(EL$2:EL$8,1+ROW(EK3)-ROW(EK$2))))</f>
        <v>Unit 10 - Marketing and Promotion in Hospitality</v>
      </c>
      <c r="EN3" s="47"/>
      <c r="EO3" s="47" t="s">
        <v>39</v>
      </c>
      <c r="EP3" s="47">
        <f>IF(COUNTIF('Extended Certificate'!$G$31:$G$37,EO3)&gt;=1,"",ROW())</f>
        <v>3</v>
      </c>
      <c r="EQ3" s="49" t="str">
        <f t="shared" ref="EQ3:EQ11" si="29">IF(ROW(EO3)-ROW(EO$2)+1&gt;COUNT(EP$2:EP$12),"",INDEX(EO:EO,SMALL(EP$2:EP$12,1+ROW(EO3)-ROW(EO$2))))</f>
        <v>Unit 12 - The Development of Music</v>
      </c>
      <c r="ES3" s="14" t="s">
        <v>397</v>
      </c>
      <c r="ET3" s="47">
        <f>IF(COUNTIF('Extended Certificate'!$G$21:$G$29,ES3)&gt;=1,"",ROW())</f>
        <v>3</v>
      </c>
      <c r="EU3" s="49" t="str">
        <f t="shared" ref="EU3:EU16" si="30">IF(ROW(ES3)-ROW(ES$2)+1&gt;COUNT(ET$2:ET$17),"",INDEX(ES:ES,SMALL(ET$2:ET$17,1+ROW(ES3)-ROW(ES$2))))</f>
        <v>Unit 10 - World Energy</v>
      </c>
      <c r="EW3" t="s">
        <v>460</v>
      </c>
      <c r="EX3" s="47">
        <f>IF(COUNTIF('Extended Certificate'!$G$21:$G$29,EW3)&gt;=1,"",ROW())</f>
        <v>3</v>
      </c>
      <c r="EY3" s="49" t="str">
        <f t="shared" ref="EY3:EY15" si="31">IF(ROW(EW3)-ROW(EW$2)+1&gt;COUNT(EX$2:EX$15),"",INDEX(EW:EW,SMALL(EX$2:EX$15,1+ROW(EW3)-ROW(EW$2))))</f>
        <v>Unit 4 - Public Services and Community Protection</v>
      </c>
    </row>
    <row r="4" spans="1:155">
      <c r="A4" s="14" t="s">
        <v>261</v>
      </c>
      <c r="B4" s="47">
        <f>IF(COUNTIF('Extended Certificate'!$G$21:$G$29,A4)&gt;=1,"",ROW())</f>
        <v>4</v>
      </c>
      <c r="C4" s="47" t="str">
        <f t="shared" si="6"/>
        <v>Unit 5 - Developing an Art and Design Portfolio</v>
      </c>
      <c r="E4" s="14" t="str">
        <f>IF(AND(E23=0,E26=1),"","Unit 5 - Sales and Personal Selling")</f>
        <v>Unit 5 - Sales and Personal Selling</v>
      </c>
      <c r="F4" s="47">
        <f>IF(COUNTIF('Extended Certificate'!$G$21:$G$29,E4)&gt;=1,"",ROW())</f>
        <v>4</v>
      </c>
      <c r="G4" s="49" t="str">
        <f t="shared" si="7"/>
        <v>Unit 5 - Sales and Personal Selling</v>
      </c>
      <c r="I4" s="23" t="s">
        <v>272</v>
      </c>
      <c r="J4" s="47">
        <f>IF(COUNTIF(Certificate!$G$17:$G$21,I4)&gt;=1,"",ROW())</f>
        <v>4</v>
      </c>
      <c r="K4" s="49" t="str">
        <f>IF(ROW(I4)-ROW(I$2)+1&gt;COUNT(J$2:J$5),"",INDEX(I:I,SMALL(J$2:J$5,1+ROW(I4)-ROW(I$2))))</f>
        <v>Unit 7 - Making Healthy Food Choices for Children</v>
      </c>
      <c r="L4" s="47"/>
      <c r="M4" s="14" t="str">
        <f>IF(OR(P23=1,P26=1,P29=1,P32=1),"","Unit 6 - Exploring Carpentry and Joinery Principles and Techniques")</f>
        <v>Unit 6 - Exploring Carpentry and Joinery Principles and Techniques</v>
      </c>
      <c r="N4" s="47">
        <f>IF(COUNTIF('Extended Certificate'!$G$21:$G$29,M4)&gt;=1,"",ROW())</f>
        <v>4</v>
      </c>
      <c r="O4" s="49" t="str">
        <f t="shared" si="8"/>
        <v>Unit 6 - Exploring Carpentry and Joinery Principles and Techniques</v>
      </c>
      <c r="P4" s="47"/>
      <c r="Q4" s="14" t="s">
        <v>22</v>
      </c>
      <c r="R4" s="47">
        <f>IF(COUNTIF('Extended Certificate'!$G$21:$G$29,Q4)&gt;=1,"",ROW())</f>
        <v>4</v>
      </c>
      <c r="S4" s="49" t="str">
        <f t="shared" si="9"/>
        <v>Unit 5 - Digital Publishing Production</v>
      </c>
      <c r="T4" s="47"/>
      <c r="U4" s="14" t="s">
        <v>104</v>
      </c>
      <c r="V4" s="47">
        <f>IF(COUNTIF('Extended Certificate'!$G$21:$G$29,U4)&gt;=1,"",ROW())</f>
        <v>4</v>
      </c>
      <c r="W4" s="49" t="str">
        <f t="shared" si="10"/>
        <v>Unit 5 - Engineering Materials</v>
      </c>
      <c r="X4" s="47"/>
      <c r="Y4" s="14" t="s">
        <v>273</v>
      </c>
      <c r="Z4" s="47">
        <f>IF(COUNTIF('Extended Certificate'!$G$21:$G$29,Y4)&gt;=1,"",ROW())</f>
        <v>4</v>
      </c>
      <c r="AA4" s="49" t="str">
        <f t="shared" si="11"/>
        <v>Unit 6 - The Impact of Nutrition on Health and Wellbeing</v>
      </c>
      <c r="AB4" s="47"/>
      <c r="AC4" s="23" t="str">
        <f>IF(OR(AF14=1,AF17=1),"","Unit 7 - Food and Beverage Service in the Hospitality Industry")</f>
        <v>Unit 7 - Food and Beverage Service in the Hospitality Industry</v>
      </c>
      <c r="AD4" s="47">
        <f>IF(COUNTIF('Extended Certificate'!$G$21:$G$29,AC4)&gt;=1,"",ROW())</f>
        <v>4</v>
      </c>
      <c r="AE4" s="49" t="str">
        <f t="shared" si="12"/>
        <v>Unit 7 - Food and Beverage Service in the Hospitality Industry</v>
      </c>
      <c r="AF4" s="47"/>
      <c r="AG4" s="47"/>
      <c r="AH4" s="50"/>
      <c r="AI4" s="49"/>
      <c r="AJ4" s="47"/>
      <c r="AK4" s="23" t="s">
        <v>141</v>
      </c>
      <c r="AL4" s="47">
        <f>IF(COUNTIF('Extended Certificate'!$G$21:$G$29,AK4)&gt;=1,"",ROW())</f>
        <v>4</v>
      </c>
      <c r="AM4" s="49" t="str">
        <f t="shared" si="13"/>
        <v>Unit 6 - Creating Digital Graphics</v>
      </c>
      <c r="AN4" s="47"/>
      <c r="AO4" s="14" t="s">
        <v>33</v>
      </c>
      <c r="AP4" s="47">
        <f>IF(COUNTIF('Extended Certificate'!$G$21:$G$29,AO4)&gt;=1,"",ROW())</f>
        <v>4</v>
      </c>
      <c r="AQ4" s="49" t="str">
        <f t="shared" si="14"/>
        <v>Unit 5 - Introducing Music Performance</v>
      </c>
      <c r="AR4" s="47"/>
      <c r="AS4" s="14" t="s">
        <v>275</v>
      </c>
      <c r="AT4" s="50">
        <f>IF(COUNTIF('Extended Certificate'!$G$21:$G$29,AS4)&gt;=1,"",ROW())</f>
        <v>4</v>
      </c>
      <c r="AU4" s="49" t="str">
        <f t="shared" si="0"/>
        <v>Unit 5 - Musical Theatre Skills</v>
      </c>
      <c r="AV4" s="47"/>
      <c r="AW4" s="14" t="s">
        <v>259</v>
      </c>
      <c r="AX4" s="50">
        <f>IF(COUNTIF('Extended Certificate'!$G$31:$G$37,AW4)&gt;=1,"",ROW())</f>
        <v>4</v>
      </c>
      <c r="AY4" s="49" t="str">
        <f t="shared" ref="AY4:AY22" si="32">IF(ROW(AW4)-ROW(AW$2)+1&gt;COUNT(AX$2:AX$22),"",INDEX(AW:AW,SMALL(AX$2:AX$22,1+ROW(AW4)-ROW(AW$2))))</f>
        <v>Unit 11 - Devising Performance Work</v>
      </c>
      <c r="AZ4" s="47"/>
      <c r="BA4" s="14" t="s">
        <v>259</v>
      </c>
      <c r="BB4" s="50">
        <f>IF(COUNTIF(Certificate!$G$23:$G$25,BA4)&gt;=1,"",ROW())</f>
        <v>4</v>
      </c>
      <c r="BC4" s="49" t="str">
        <f t="shared" si="1"/>
        <v>Unit 11 - Devising Performance Work</v>
      </c>
      <c r="BD4" s="47"/>
      <c r="BE4" s="14" t="s">
        <v>259</v>
      </c>
      <c r="BF4" s="50">
        <f>IF(COUNTIF('Extended Certificate'!$G$21:$G$29,BE4)&gt;=1,"",ROW())</f>
        <v>4</v>
      </c>
      <c r="BG4" s="49" t="str">
        <f t="shared" si="15"/>
        <v>Unit 11 - Devising Performance Work</v>
      </c>
      <c r="BH4" s="47"/>
      <c r="BI4" s="14" t="s">
        <v>276</v>
      </c>
      <c r="BJ4" s="50">
        <f>IF(COUNTIF('Extended Certificate'!$G$31:$G$37,BI4)&gt;=1,"",ROW())</f>
        <v>4</v>
      </c>
      <c r="BK4" s="47" t="str">
        <f t="shared" si="16"/>
        <v>Unit 18 - Jazz Dance Techniques</v>
      </c>
      <c r="BL4" s="47"/>
      <c r="BM4" s="14" t="s">
        <v>285</v>
      </c>
      <c r="BN4" s="50">
        <f>IF(COUNTIF('Extended Certificate'!$G$39,BM4)&gt;=1,"",ROW())</f>
        <v>4</v>
      </c>
      <c r="BO4" s="47" t="str">
        <f t="shared" si="2"/>
        <v>Unit 21 - Realising Set Design for Performance</v>
      </c>
      <c r="BP4" s="47"/>
      <c r="BQ4" s="51"/>
      <c r="BR4" s="50"/>
      <c r="BS4" s="51"/>
      <c r="BT4" s="47"/>
      <c r="BU4" s="14" t="s">
        <v>259</v>
      </c>
      <c r="BV4" s="50">
        <f>IF(COUNTIF('Extended Certificate'!$G$21:$G$29,BU4)&gt;=1,"",ROW())</f>
        <v>4</v>
      </c>
      <c r="BW4" s="49" t="str">
        <f t="shared" si="3"/>
        <v>Unit 11 - Devising Performance Work</v>
      </c>
      <c r="BX4" s="47"/>
      <c r="CB4" s="47"/>
      <c r="CC4" s="14" t="s">
        <v>285</v>
      </c>
      <c r="CD4" s="50">
        <f>IF(COUNTIF('Extended Certificate'!$G$39,CC4)&gt;=1,"",ROW())</f>
        <v>4</v>
      </c>
      <c r="CE4" s="47" t="str">
        <f t="shared" si="17"/>
        <v>Unit 21 - Realising Set Design for Performance</v>
      </c>
      <c r="CF4" s="47"/>
      <c r="CG4" s="14" t="s">
        <v>259</v>
      </c>
      <c r="CH4" s="50">
        <f>IF(COUNTIF('Extended Certificate'!$G$21:$G$29,CG4)&gt;=1,"",ROW())</f>
        <v>4</v>
      </c>
      <c r="CI4" s="49" t="str">
        <f>IF(ROW(CG4)-ROW(CG$2)+1&gt;COUNT(CH$2:CH$6),"",INDEX(BE:BE,SMALL(CH$2:CH$6,1+ROW(CG4)-ROW(CG$2))))</f>
        <v>Unit 11 - Devising Performance Work</v>
      </c>
      <c r="CJ4" s="47"/>
      <c r="CK4" s="14" t="s">
        <v>268</v>
      </c>
      <c r="CL4" s="50">
        <f>IF(COUNTIF(Certificate!$G$23:$G$25,CK4)&gt;=1,"",ROW())</f>
        <v>4</v>
      </c>
      <c r="CM4" s="47" t="str">
        <f t="shared" si="4"/>
        <v>Unit 17 - Exploring Urban Dance Styles</v>
      </c>
      <c r="CN4" s="47"/>
      <c r="CO4" s="14" t="s">
        <v>277</v>
      </c>
      <c r="CP4" s="50">
        <f>IF(COUNTIF('Extended Certificate'!$G$21:$G$29,CO4)&gt;=1,"",ROW())</f>
        <v>4</v>
      </c>
      <c r="CQ4" s="49" t="str">
        <f t="shared" si="5"/>
        <v>Unit 20 - Realising Costume Design for Performance</v>
      </c>
      <c r="CR4" s="47"/>
      <c r="CS4" t="s">
        <v>284</v>
      </c>
      <c r="CT4" s="50">
        <f>IF(COUNTIF('Extended Certificate'!$G$31:$G$37,CS4)&gt;=1,"",ROW())</f>
        <v>4</v>
      </c>
      <c r="CU4" s="47" t="str">
        <f t="shared" si="18"/>
        <v>Unit 12 - Exploring Improvisation</v>
      </c>
      <c r="CV4" s="47"/>
      <c r="CW4" s="14" t="s">
        <v>127</v>
      </c>
      <c r="CX4" s="47">
        <f>IF(COUNTIF('Extended Certificate'!$G$21:$G$29,CW4)&gt;=1,"",ROW())</f>
        <v>4</v>
      </c>
      <c r="CY4" s="49" t="str">
        <f t="shared" si="19"/>
        <v>Unit 5 - Training for Personal Fitness</v>
      </c>
      <c r="CZ4" s="47"/>
      <c r="DA4" s="14" t="s">
        <v>278</v>
      </c>
      <c r="DB4" s="47">
        <f>IF(COUNTIF('Extended Certificate'!$G$21:$G$29,DA4)&gt;=1,"",ROW())</f>
        <v>4</v>
      </c>
      <c r="DC4" s="49" t="str">
        <f t="shared" si="20"/>
        <v>Unit 6 -The Travel and Tourism Customer Experience</v>
      </c>
      <c r="DD4" s="47"/>
      <c r="DE4" s="47" t="s">
        <v>45</v>
      </c>
      <c r="DF4" s="47">
        <f>IF(COUNTIF('Extended Certificate'!$G$31:$G$37,DE4)&gt;=1,"",ROW())</f>
        <v>4</v>
      </c>
      <c r="DG4" s="49" t="str">
        <f t="shared" si="21"/>
        <v>Unit 11 - Animation for Digital Media</v>
      </c>
      <c r="DH4" s="47"/>
      <c r="DI4" s="47" t="s">
        <v>279</v>
      </c>
      <c r="DJ4" s="47">
        <f>IF(COUNTIF('Extended Certificate'!$G$21:$G$29,DI4)&gt;=1,"",ROW())</f>
        <v>4</v>
      </c>
      <c r="DK4" s="49" t="str">
        <f t="shared" si="22"/>
        <v>Unit 10 - Fashion Briefs</v>
      </c>
      <c r="DL4" s="47"/>
      <c r="DM4" s="47" t="s">
        <v>280</v>
      </c>
      <c r="DN4" s="47">
        <f>IF(COUNTIF('Extended Certificate'!$G$21:$G$29,DM4)&gt;=1,"",ROW())</f>
        <v>4</v>
      </c>
      <c r="DO4" s="49" t="str">
        <f t="shared" si="23"/>
        <v>Unit 9 - Design Crafts Briefs</v>
      </c>
      <c r="DP4" s="47"/>
      <c r="DQ4" s="47" t="s">
        <v>261</v>
      </c>
      <c r="DR4" s="47">
        <f>IF(COUNTIF('Extended Certificate'!$G$21:$G$29,DQ4)&gt;=1,"",ROW())</f>
        <v>4</v>
      </c>
      <c r="DS4" s="49" t="str">
        <f t="shared" si="24"/>
        <v>Unit 5 - Developing an Art and Design Portfolio</v>
      </c>
      <c r="DT4" s="47"/>
      <c r="DU4" s="47" t="s">
        <v>261</v>
      </c>
      <c r="DV4" s="47">
        <f>IF(COUNTIF('Extended Certificate'!$G$21:$G$29,DU4)&gt;=1,"",ROW())</f>
        <v>4</v>
      </c>
      <c r="DW4" s="49" t="str">
        <f t="shared" si="25"/>
        <v>Unit 5 - Developing an Art and Design Portfolio</v>
      </c>
      <c r="DX4" s="47"/>
      <c r="DY4" s="47" t="s">
        <v>280</v>
      </c>
      <c r="DZ4" s="47">
        <f>IF(COUNTIF('Extended Certificate'!$G$21:$G$29,DY4)&gt;=1,"",ROW())</f>
        <v>4</v>
      </c>
      <c r="EA4" s="49" t="str">
        <f t="shared" si="26"/>
        <v>Unit 9 - Design Crafts Briefs</v>
      </c>
      <c r="EB4" s="47"/>
      <c r="EC4" s="47" t="s">
        <v>270</v>
      </c>
      <c r="ED4" s="47">
        <f>IF(COUNTIF('Extended Certificate'!$G$21:$G$29,EC4)&gt;=1,"",ROW())</f>
        <v>4</v>
      </c>
      <c r="EE4" s="49" t="str">
        <f t="shared" si="27"/>
        <v>Unit 8 - Using Mobile Devices in Art and Design</v>
      </c>
      <c r="EF4" s="47"/>
      <c r="EG4" s="47"/>
      <c r="EH4" s="47"/>
      <c r="EI4" s="49"/>
      <c r="EJ4" s="47"/>
      <c r="EK4" s="23" t="s">
        <v>298</v>
      </c>
      <c r="EL4" s="47">
        <f>IF(COUNTIF('Extended Certificate'!$G$31:$G$37,EK4)&gt;=1,"",ROW())</f>
        <v>4</v>
      </c>
      <c r="EM4" s="49" t="str">
        <f t="shared" si="28"/>
        <v>Unit 12 - Planning and Running a Hospitality Event</v>
      </c>
      <c r="EN4" s="47"/>
      <c r="EO4" s="47" t="s">
        <v>363</v>
      </c>
      <c r="EP4" s="47">
        <f>IF(COUNTIF('Extended Certificate'!$G$31:$G$37,EO4)&gt;=1,"",ROW())</f>
        <v>4</v>
      </c>
      <c r="EQ4" s="49" t="str">
        <f t="shared" si="29"/>
        <v>Unit 13 - Developing Music Composition</v>
      </c>
      <c r="ES4" s="14" t="s">
        <v>398</v>
      </c>
      <c r="ET4" s="47">
        <f>IF(COUNTIF('Extended Certificate'!$G$21:$G$29,ES4)&gt;=1,"",ROW())</f>
        <v>4</v>
      </c>
      <c r="EU4" s="49" t="str">
        <f t="shared" si="30"/>
        <v xml:space="preserve">Unit 11 - How Scientific Theories are Formulated </v>
      </c>
      <c r="EW4" t="s">
        <v>173</v>
      </c>
      <c r="EX4" s="47">
        <f>IF(COUNTIF('Extended Certificate'!$G$21:$G$29,EW4)&gt;=1,"",ROW())</f>
        <v>4</v>
      </c>
      <c r="EY4" s="49" t="str">
        <f t="shared" si="31"/>
        <v>Unit 5 - Health, Fitness and Lifestyle for the Public Services</v>
      </c>
    </row>
    <row r="5" spans="1:155">
      <c r="A5" s="14" t="s">
        <v>270</v>
      </c>
      <c r="B5" s="47">
        <f>IF(COUNTIF('Extended Certificate'!$G$21:$G$29,A5)&gt;=1,"",ROW())</f>
        <v>5</v>
      </c>
      <c r="C5" s="47" t="str">
        <f t="shared" si="6"/>
        <v>Unit 8 - Using Mobile Devices in Art and Design</v>
      </c>
      <c r="E5" s="14" t="str">
        <f>IF(AND(E23=0,E26=1),"","Unit 6 - Introducing Retail Business")</f>
        <v>Unit 6 - Introducing Retail Business</v>
      </c>
      <c r="F5" s="47">
        <f>IF(COUNTIF('Extended Certificate'!$G$21:$G$29,E5)&gt;=1,"",ROW())</f>
        <v>5</v>
      </c>
      <c r="G5" s="49" t="str">
        <f t="shared" si="7"/>
        <v>Unit 6 - Introducing Retail Business</v>
      </c>
      <c r="I5" s="23" t="s">
        <v>281</v>
      </c>
      <c r="J5" s="47">
        <f>IF(COUNTIF(Certificate!$G$17:$G$21,I5)&gt;=1,"",ROW())</f>
        <v>5</v>
      </c>
      <c r="K5" s="49" t="str">
        <f>IF(ROW(I5)-ROW(I$2)+1&gt;COUNT(J$2:J$5),"",INDEX(I:I,SMALL(J$2:J$5,1+ROW(I5)-ROW(I$2))))</f>
        <v>Unit 8 - Introduction to Working in the Early Years Sector</v>
      </c>
      <c r="L5" s="47"/>
      <c r="M5" s="14" t="str">
        <f>IF(OR(P20=1,P26=1,P29=1,P32=1),"","Unit 7 - Exploring Brickwork and Blockwork Principles and Techniques")</f>
        <v>Unit 7 - Exploring Brickwork and Blockwork Principles and Techniques</v>
      </c>
      <c r="N5" s="47">
        <f>IF(COUNTIF('Extended Certificate'!$G$21:$G$29,M5)&gt;=1,"",ROW())</f>
        <v>5</v>
      </c>
      <c r="O5" s="49" t="str">
        <f t="shared" si="8"/>
        <v>Unit 7 - Exploring Brickwork and Blockwork Principles and Techniques</v>
      </c>
      <c r="P5" s="47"/>
      <c r="Q5" s="14" t="s">
        <v>282</v>
      </c>
      <c r="R5" s="47">
        <f>IF(COUNTIF('Extended Certificate'!$G$21:$G$29,Q5)&gt;=1,"",ROW())</f>
        <v>5</v>
      </c>
      <c r="S5" s="49" t="str">
        <f t="shared" si="9"/>
        <v>Unit 6 - Website Production</v>
      </c>
      <c r="T5" s="47"/>
      <c r="U5" s="14" t="s">
        <v>105</v>
      </c>
      <c r="V5" s="47">
        <f>IF(COUNTIF('Extended Certificate'!$G$21:$G$29,U5)&gt;=1,"",ROW())</f>
        <v>5</v>
      </c>
      <c r="W5" s="49" t="str">
        <f t="shared" si="10"/>
        <v>Unit 6 - Computer-aided Engineering</v>
      </c>
      <c r="X5" s="47"/>
      <c r="Y5" s="14" t="s">
        <v>283</v>
      </c>
      <c r="Z5" s="47">
        <f>IF(COUNTIF('Extended Certificate'!$G$21:$G$29,Y5)&gt;=1,"",ROW())</f>
        <v>5</v>
      </c>
      <c r="AA5" s="49" t="str">
        <f t="shared" si="11"/>
        <v>Unit 7 - Equality and Diversity in Health and Social Care</v>
      </c>
      <c r="AB5" s="47"/>
      <c r="AC5" s="14" t="str">
        <f>IF(OR(AF14=1,AF17=1),"","Unit 8 - Front Office Services in the Hospitality Industry")</f>
        <v>Unit 8 - Front Office Services in the Hospitality Industry</v>
      </c>
      <c r="AD5" s="47">
        <f>IF(COUNTIF('Extended Certificate'!$G$21:$G$29,AC5)&gt;=1,"",ROW())</f>
        <v>5</v>
      </c>
      <c r="AE5" s="49" t="str">
        <f t="shared" si="12"/>
        <v>Unit 8 - Front Office Services in the Hospitality Industry</v>
      </c>
      <c r="AF5" s="47"/>
      <c r="AG5" s="47"/>
      <c r="AH5" s="50"/>
      <c r="AI5" s="49"/>
      <c r="AJ5" s="47"/>
      <c r="AK5" s="23" t="s">
        <v>142</v>
      </c>
      <c r="AL5" s="47">
        <f>IF(COUNTIF('Extended Certificate'!$G$21:$G$29,AK5)&gt;=1,"",ROW())</f>
        <v>5</v>
      </c>
      <c r="AM5" s="49" t="str">
        <f t="shared" si="13"/>
        <v>Unit 7 - Creating Digital Video</v>
      </c>
      <c r="AN5" s="47"/>
      <c r="AO5" s="14" t="s">
        <v>34</v>
      </c>
      <c r="AP5" s="47">
        <f>IF(COUNTIF('Extended Certificate'!$G$21:$G$29,AO5)&gt;=1,"",ROW())</f>
        <v>5</v>
      </c>
      <c r="AQ5" s="49" t="str">
        <f t="shared" si="14"/>
        <v>Unit 6 - Introducing Music Recording</v>
      </c>
      <c r="AR5" s="47"/>
      <c r="AS5" s="14" t="s">
        <v>123</v>
      </c>
      <c r="AT5" s="50">
        <f>IF(COUNTIF('Extended Certificate'!$G$21:$G$29,AS5)&gt;=1,"",ROW())</f>
        <v>5</v>
      </c>
      <c r="AU5" s="49" t="str">
        <f t="shared" si="0"/>
        <v>Unit 6 - Music Performance Skills</v>
      </c>
      <c r="AV5" s="47"/>
      <c r="AW5" s="23" t="s">
        <v>284</v>
      </c>
      <c r="AX5" s="50">
        <f>IF(COUNTIF('Extended Certificate'!$G$31:$G$37,AW5)&gt;=1,"",ROW())</f>
        <v>5</v>
      </c>
      <c r="AY5" s="49" t="str">
        <f t="shared" si="32"/>
        <v>Unit 12 - Exploring Improvisation</v>
      </c>
      <c r="AZ5" s="47"/>
      <c r="BA5" s="23" t="s">
        <v>284</v>
      </c>
      <c r="BB5" s="50">
        <f>IF(COUNTIF(Certificate!$G$23:$G$25,BA5)&gt;=1,"",ROW())</f>
        <v>5</v>
      </c>
      <c r="BC5" s="49" t="str">
        <f t="shared" si="1"/>
        <v>Unit 12 - Exploring Improvisation</v>
      </c>
      <c r="BD5" s="47"/>
      <c r="BE5" s="102" t="s">
        <v>284</v>
      </c>
      <c r="BF5" s="50">
        <f>IF(COUNTIF('Extended Certificate'!$G$21:$G$29,BE5)&gt;=1,"",ROW())</f>
        <v>5</v>
      </c>
      <c r="BG5" s="49" t="str">
        <f t="shared" si="15"/>
        <v>Unit 12 - Exploring Improvisation</v>
      </c>
      <c r="BH5" s="47"/>
      <c r="BM5" s="14" t="s">
        <v>292</v>
      </c>
      <c r="BN5" s="50">
        <f>IF(COUNTIF('Extended Certificate'!$G$39,BM5)&gt;=1,"",ROW())</f>
        <v>5</v>
      </c>
      <c r="BO5" s="47" t="str">
        <f t="shared" si="2"/>
        <v>Unit 22 - Realising Prop Design for Performance</v>
      </c>
      <c r="BP5" s="47"/>
      <c r="BQ5" s="51"/>
      <c r="BR5" s="50"/>
      <c r="BS5" s="51"/>
      <c r="BT5" s="47"/>
      <c r="BU5" s="14" t="s">
        <v>255</v>
      </c>
      <c r="BV5" s="50">
        <f>IF(COUNTIF('Extended Certificate'!$G$21:$G$29,BU5)&gt;=1,"",ROW())</f>
        <v>5</v>
      </c>
      <c r="BW5" s="49" t="str">
        <f t="shared" si="3"/>
        <v>Unit 16 - Contemporary Dance Techniques</v>
      </c>
      <c r="BX5" s="47"/>
      <c r="CB5" s="47"/>
      <c r="CC5" s="14" t="s">
        <v>292</v>
      </c>
      <c r="CD5" s="50">
        <f>IF(COUNTIF('Extended Certificate'!$G$39,CC5)&gt;=1,"",ROW())</f>
        <v>5</v>
      </c>
      <c r="CE5" s="47" t="str">
        <f t="shared" si="17"/>
        <v>Unit 22 - Realising Prop Design for Performance</v>
      </c>
      <c r="CF5" s="47"/>
      <c r="CG5" s="14" t="s">
        <v>257</v>
      </c>
      <c r="CH5" s="50">
        <f>IF(COUNTIF('Extended Certificate'!$G$21:$G$29,CG5)&gt;=1,"",ROW())</f>
        <v>5</v>
      </c>
      <c r="CI5" s="49" t="str">
        <f>IF(ROW(CG5)-ROW(CG$2)+1&gt;COUNT(CH$2:CH$6),"",INDEX(BE:BE,SMALL(CH$2:CH$6,1+ROW(CG5)-ROW(CG$2))))</f>
        <v>Unit 12 - Exploring Improvisation</v>
      </c>
      <c r="CJ5" s="47"/>
      <c r="CK5" s="14" t="s">
        <v>276</v>
      </c>
      <c r="CL5" s="50">
        <f>IF(COUNTIF(Certificate!$G$23:$G$25,CK5)&gt;=1,"",ROW())</f>
        <v>5</v>
      </c>
      <c r="CM5" s="47" t="str">
        <f t="shared" si="4"/>
        <v>Unit 18 - Jazz Dance Techniques</v>
      </c>
      <c r="CN5" s="47"/>
      <c r="CO5" s="14" t="s">
        <v>285</v>
      </c>
      <c r="CP5" s="50">
        <f>IF(COUNTIF('Extended Certificate'!$G$21:$G$29,CO5)&gt;=1,"",ROW())</f>
        <v>5</v>
      </c>
      <c r="CQ5" s="49" t="str">
        <f t="shared" si="5"/>
        <v>Unit 21 - Realising Set Design for Performance</v>
      </c>
      <c r="CR5" s="47"/>
      <c r="CS5" t="s">
        <v>291</v>
      </c>
      <c r="CT5" s="50">
        <f>IF(COUNTIF('Extended Certificate'!$G$31:$G$37,CS5)&gt;=1,"",ROW())</f>
        <v>5</v>
      </c>
      <c r="CU5" s="47" t="str">
        <f t="shared" si="18"/>
        <v>Unit 13 - Multimedia Performance</v>
      </c>
      <c r="CV5" s="47"/>
      <c r="CW5" s="14" t="s">
        <v>128</v>
      </c>
      <c r="CX5" s="47">
        <f>IF(COUNTIF('Extended Certificate'!$G$21:$G$29,CW5)&gt;=1,"",ROW())</f>
        <v>5</v>
      </c>
      <c r="CY5" s="49" t="str">
        <f t="shared" si="19"/>
        <v>Unit 6 - Leading Sports Activities</v>
      </c>
      <c r="CZ5" s="47"/>
      <c r="DA5" s="23" t="s">
        <v>286</v>
      </c>
      <c r="DB5" s="47">
        <f>IF(COUNTIF('Extended Certificate'!$G$21:$G$29,DA5)&gt;=1,"",ROW())</f>
        <v>5</v>
      </c>
      <c r="DC5" s="49" t="str">
        <f t="shared" si="20"/>
        <v>Unit 8 - Promotion and Sales in Travel and Tourism</v>
      </c>
      <c r="DD5" s="47"/>
      <c r="DE5" s="47" t="s">
        <v>287</v>
      </c>
      <c r="DF5" s="47">
        <f>IF(COUNTIF('Extended Certificate'!$G$31:$G$37,DE5)&gt;=1,"",ROW())</f>
        <v>5</v>
      </c>
      <c r="DG5" s="49" t="str">
        <f t="shared" si="21"/>
        <v>Unit 12 - Digital Audio Editing</v>
      </c>
      <c r="DH5" s="47"/>
      <c r="DI5" s="47" t="s">
        <v>288</v>
      </c>
      <c r="DJ5" s="47">
        <f>IF(COUNTIF('Extended Certificate'!$G$21:$G$29,DI5)&gt;=1,"",ROW())</f>
        <v>5</v>
      </c>
      <c r="DK5" s="49" t="str">
        <f t="shared" si="22"/>
        <v>Unit 12 - Textiles Briefs</v>
      </c>
      <c r="DL5" s="47"/>
      <c r="DM5" s="47" t="s">
        <v>297</v>
      </c>
      <c r="DN5" s="47">
        <f>IF(COUNTIF('Extended Certificate'!$G$21:$G$29,DM5)&gt;=1,"",ROW())</f>
        <v>5</v>
      </c>
      <c r="DO5" s="49" t="str">
        <f t="shared" si="23"/>
        <v>Unit 14 - Photography Briefs</v>
      </c>
      <c r="DP5" s="47"/>
      <c r="DQ5" s="47" t="s">
        <v>270</v>
      </c>
      <c r="DR5" s="47">
        <f>IF(COUNTIF('Extended Certificate'!$G$21:$G$29,DQ5)&gt;=1,"",ROW())</f>
        <v>5</v>
      </c>
      <c r="DS5" s="49" t="str">
        <f t="shared" si="24"/>
        <v>Unit 8 - Using Mobile Devices in Art and Design</v>
      </c>
      <c r="DT5" s="47"/>
      <c r="DU5" s="47" t="s">
        <v>270</v>
      </c>
      <c r="DV5" s="47">
        <f>IF(COUNTIF('Extended Certificate'!$G$21:$G$29,DU5)&gt;=1,"",ROW())</f>
        <v>5</v>
      </c>
      <c r="DW5" s="49" t="str">
        <f t="shared" si="25"/>
        <v>Unit 8 - Using Mobile Devices in Art and Design</v>
      </c>
      <c r="DX5" s="47"/>
      <c r="DY5" s="47" t="s">
        <v>279</v>
      </c>
      <c r="DZ5" s="47">
        <f>IF(COUNTIF('Extended Certificate'!$G$21:$G$29,DY5)&gt;=1,"",ROW())</f>
        <v>5</v>
      </c>
      <c r="EA5" s="49" t="str">
        <f t="shared" si="26"/>
        <v>Unit 10 - Fashion Briefs</v>
      </c>
      <c r="EB5" s="47"/>
      <c r="EC5" s="47" t="s">
        <v>279</v>
      </c>
      <c r="ED5" s="47">
        <f>IF(COUNTIF('Extended Certificate'!$G$21:$G$29,EC5)&gt;=1,"",ROW())</f>
        <v>5</v>
      </c>
      <c r="EE5" s="49" t="str">
        <f t="shared" si="27"/>
        <v>Unit 10 - Fashion Briefs</v>
      </c>
      <c r="EF5" s="47"/>
      <c r="EG5" s="47"/>
      <c r="EH5" s="47"/>
      <c r="EI5" s="49"/>
      <c r="EJ5" s="47"/>
      <c r="EK5" s="23" t="s">
        <v>303</v>
      </c>
      <c r="EL5" s="47">
        <f>IF(COUNTIF('Extended Certificate'!$G$31:$G$37,EK5)&gt;=1,"",ROW())</f>
        <v>5</v>
      </c>
      <c r="EM5" s="49" t="str">
        <f t="shared" si="28"/>
        <v>Unit 13 - Contemporary World Food Cooking Skills</v>
      </c>
      <c r="EN5" s="47"/>
      <c r="EO5" s="47" t="s">
        <v>364</v>
      </c>
      <c r="EP5" s="47">
        <f>IF(COUNTIF('Extended Certificate'!$G$31:$G$37,EO5)&gt;=1,"",ROW())</f>
        <v>5</v>
      </c>
      <c r="EQ5" s="49" t="str">
        <f t="shared" si="29"/>
        <v>Unit 14 - Producing a Music Recording</v>
      </c>
      <c r="ES5" s="14" t="s">
        <v>399</v>
      </c>
      <c r="ET5" s="47">
        <f>IF(COUNTIF('Extended Certificate'!$G$21:$G$29,ES5)&gt;=1,"",ROW())</f>
        <v>5</v>
      </c>
      <c r="EU5" s="49" t="str">
        <f t="shared" si="30"/>
        <v>Unit 12 - The Living Body</v>
      </c>
      <c r="EW5" t="s">
        <v>461</v>
      </c>
      <c r="EX5" s="47">
        <f>IF(COUNTIF('Extended Certificate'!$G$21:$G$29,EW5)&gt;=1,"",ROW())</f>
        <v>5</v>
      </c>
      <c r="EY5" s="49" t="str">
        <f t="shared" si="31"/>
        <v>Unit 8 - Promotion of Public Service Provision</v>
      </c>
    </row>
    <row r="6" spans="1:155">
      <c r="A6" s="47" t="str">
        <f>IF(A26=1,"","Unit 9 - Design Crafts Briefs")</f>
        <v>Unit 9 - Design Crafts Briefs</v>
      </c>
      <c r="B6" s="47">
        <f>IF(COUNTIF('Extended Certificate'!$G$21:$G$29,A6)&gt;=1,"",ROW())</f>
        <v>6</v>
      </c>
      <c r="C6" s="47" t="str">
        <f t="shared" si="6"/>
        <v>Unit 9 - Design Crafts Briefs</v>
      </c>
      <c r="E6" s="14" t="str">
        <f>IF(AND(E23=0,E26=1),"","Unit 7 - Providing Business Support")</f>
        <v>Unit 7 - Providing Business Support</v>
      </c>
      <c r="F6" s="47">
        <f>IF(COUNTIF('Extended Certificate'!$G$21:$G$29,E6)&gt;=1,"",ROW())</f>
        <v>6</v>
      </c>
      <c r="G6" s="49" t="str">
        <f t="shared" si="7"/>
        <v>Unit 7 - Providing Business Support</v>
      </c>
      <c r="I6" s="47"/>
      <c r="J6" s="50"/>
      <c r="K6" s="49"/>
      <c r="L6" s="47"/>
      <c r="M6" s="14" t="str">
        <f>IF(OR(P20=1,P23=1,P29=1,P32=1),"","Unit 8 - Exploring Painting and Decorating Principles and Techniques")</f>
        <v>Unit 8 - Exploring Painting and Decorating Principles and Techniques</v>
      </c>
      <c r="N6" s="47">
        <f>IF(COUNTIF('Extended Certificate'!$G$21:$G$29,M6)&gt;=1,"",ROW())</f>
        <v>6</v>
      </c>
      <c r="O6" s="49" t="str">
        <f t="shared" si="8"/>
        <v>Unit 8 - Exploring Painting and Decorating Principles and Techniques</v>
      </c>
      <c r="P6" s="47"/>
      <c r="Q6" s="14" t="s">
        <v>24</v>
      </c>
      <c r="R6" s="47">
        <f>IF(COUNTIF('Extended Certificate'!$G$21:$G$29,Q6)&gt;=1,"",ROW())</f>
        <v>6</v>
      </c>
      <c r="S6" s="49" t="str">
        <f t="shared" si="9"/>
        <v>Unit 7 - Digital Games Production</v>
      </c>
      <c r="T6" s="47"/>
      <c r="U6" s="14" t="s">
        <v>106</v>
      </c>
      <c r="V6" s="47">
        <f>IF(COUNTIF('Extended Certificate'!$G$21:$G$29,U6)&gt;=1,"",ROW())</f>
        <v>6</v>
      </c>
      <c r="W6" s="49" t="str">
        <f t="shared" si="10"/>
        <v>Unit 7 - Machining Techniques</v>
      </c>
      <c r="X6" s="47"/>
      <c r="Y6" s="14" t="s">
        <v>113</v>
      </c>
      <c r="Z6" s="47">
        <f>IF(COUNTIF('Extended Certificate'!$G$21:$G$29,Y6)&gt;=1,"",ROW())</f>
        <v>6</v>
      </c>
      <c r="AA6" s="49" t="str">
        <f t="shared" si="11"/>
        <v>Unit 8 - Individual Rights in Health and Social Care</v>
      </c>
      <c r="AB6" s="47"/>
      <c r="AC6" s="14" t="str">
        <f>IF(OR(AF14=1,AF17=1),"","Unit 11 - Accommodation Services in the Hospitality Industry")</f>
        <v>Unit 11 - Accommodation Services in the Hospitality Industry</v>
      </c>
      <c r="AD6" s="47">
        <f>IF(COUNTIF('Extended Certificate'!$G$21:$G$29,AC6)&gt;=1,"",ROW())</f>
        <v>6</v>
      </c>
      <c r="AE6" s="49" t="str">
        <f t="shared" si="12"/>
        <v>Unit 11 - Accommodation Services in the Hospitality Industry</v>
      </c>
      <c r="AF6" s="47"/>
      <c r="AG6" s="47"/>
      <c r="AH6" s="50"/>
      <c r="AI6" s="49"/>
      <c r="AJ6" s="47"/>
      <c r="AK6" s="23" t="s">
        <v>290</v>
      </c>
      <c r="AL6" s="47">
        <f>IF(COUNTIF('Extended Certificate'!$G$21:$G$29,AK6)&gt;=1,"",ROW())</f>
        <v>6</v>
      </c>
      <c r="AM6" s="49" t="str">
        <f t="shared" si="13"/>
        <v>Unit 8 - Mobile Apps Development</v>
      </c>
      <c r="AN6" s="47"/>
      <c r="AO6" s="14" t="s">
        <v>35</v>
      </c>
      <c r="AP6" s="47">
        <f>IF(COUNTIF('Extended Certificate'!$G$21:$G$29,AO6)&gt;=1,"",ROW())</f>
        <v>6</v>
      </c>
      <c r="AQ6" s="49" t="str">
        <f t="shared" si="14"/>
        <v>Unit 7 - Introducing Music Sequencing</v>
      </c>
      <c r="AR6" s="47"/>
      <c r="AS6" s="14" t="s">
        <v>124</v>
      </c>
      <c r="AT6" s="50">
        <f>IF(COUNTIF('Extended Certificate'!$G$21:$G$29,AS6)&gt;=1,"",ROW())</f>
        <v>6</v>
      </c>
      <c r="AU6" s="49" t="str">
        <f t="shared" si="0"/>
        <v>Unit 7 - Production Skills for Performance</v>
      </c>
      <c r="AV6" s="47"/>
      <c r="AW6" s="23" t="s">
        <v>291</v>
      </c>
      <c r="AX6" s="50">
        <f>IF(COUNTIF('Extended Certificate'!$G$31:$G$37,AW6)&gt;=1,"",ROW())</f>
        <v>6</v>
      </c>
      <c r="AY6" s="49" t="str">
        <f t="shared" si="32"/>
        <v>Unit 13 - Multimedia Performance</v>
      </c>
      <c r="AZ6" s="47"/>
      <c r="BA6" s="23" t="s">
        <v>291</v>
      </c>
      <c r="BB6" s="50">
        <f>IF(COUNTIF(Certificate!$G$23:$G$25,BA6)&gt;=1,"",ROW())</f>
        <v>6</v>
      </c>
      <c r="BC6" s="49" t="str">
        <f t="shared" si="1"/>
        <v>Unit 13 - Multimedia Performance</v>
      </c>
      <c r="BD6" s="47"/>
      <c r="BE6" s="102" t="s">
        <v>291</v>
      </c>
      <c r="BF6" s="50">
        <f>IF(COUNTIF('Extended Certificate'!$G$21:$G$29,BE6)&gt;=1,"",ROW())</f>
        <v>6</v>
      </c>
      <c r="BG6" s="49" t="str">
        <f t="shared" si="15"/>
        <v>Unit 13 - Multimedia Performance</v>
      </c>
      <c r="BH6" s="47"/>
      <c r="BM6" s="14" t="s">
        <v>300</v>
      </c>
      <c r="BN6" s="50">
        <f>IF(COUNTIF('Extended Certificate'!$G$39,BM6)&gt;=1,"",ROW())</f>
        <v>6</v>
      </c>
      <c r="BO6" s="47" t="str">
        <f t="shared" si="2"/>
        <v>Unit 23 - Realising Mask Design for Performance</v>
      </c>
      <c r="BP6" s="47"/>
      <c r="BQ6" s="51"/>
      <c r="BR6" s="50"/>
      <c r="BS6" s="51"/>
      <c r="BT6" s="47"/>
      <c r="BU6" s="14" t="s">
        <v>268</v>
      </c>
      <c r="BV6" s="50">
        <f>IF(COUNTIF('Extended Certificate'!$G$21:$G$29,BU6)&gt;=1,"",ROW())</f>
        <v>6</v>
      </c>
      <c r="BW6" s="49" t="str">
        <f t="shared" si="3"/>
        <v>Unit 17 - Exploring Urban Dance Styles</v>
      </c>
      <c r="BX6" s="47"/>
      <c r="CB6" s="47"/>
      <c r="CC6" s="14" t="s">
        <v>300</v>
      </c>
      <c r="CD6" s="50">
        <f>IF(COUNTIF('Extended Certificate'!$G$39,CC6)&gt;=1,"",ROW())</f>
        <v>6</v>
      </c>
      <c r="CE6" s="47" t="str">
        <f t="shared" si="17"/>
        <v>Unit 23 - Realising Mask Design for Performance</v>
      </c>
      <c r="CF6" s="47"/>
      <c r="CG6" s="14"/>
      <c r="CH6" s="50"/>
      <c r="CI6" s="49"/>
      <c r="CJ6" s="47"/>
      <c r="CK6" s="14" t="s">
        <v>269</v>
      </c>
      <c r="CL6" s="50">
        <f>IF(COUNTIF(Certificate!$G$23:$G$25,CK6)&gt;=1,"",ROW())</f>
        <v>6</v>
      </c>
      <c r="CM6" s="47" t="str">
        <f t="shared" si="4"/>
        <v>Unit 19 - Design Planning for Performance</v>
      </c>
      <c r="CN6" s="47"/>
      <c r="CO6" s="14" t="s">
        <v>292</v>
      </c>
      <c r="CP6" s="50">
        <f>IF(COUNTIF('Extended Certificate'!$G$21:$G$29,CO6)&gt;=1,"",ROW())</f>
        <v>6</v>
      </c>
      <c r="CQ6" s="49" t="str">
        <f t="shared" si="5"/>
        <v>Unit 22 - Realising Prop Design for Performance</v>
      </c>
      <c r="CR6" s="47"/>
      <c r="CS6" s="14" t="s">
        <v>257</v>
      </c>
      <c r="CT6" s="50">
        <f>IF(COUNTIF('Extended Certificate'!$G$31:$G$37,CS6)&gt;=1,"",ROW())</f>
        <v>6</v>
      </c>
      <c r="CU6" s="47" t="str">
        <f t="shared" si="18"/>
        <v>Unit 14 - Voice and Speech for Performers</v>
      </c>
      <c r="CV6" s="47"/>
      <c r="CW6" s="23" t="s">
        <v>293</v>
      </c>
      <c r="CX6" s="47">
        <f>IF(COUNTIF('Extended Certificate'!$G$21:$G$29,CW6)&gt;=1,"",ROW())</f>
        <v>6</v>
      </c>
      <c r="CY6" s="49" t="str">
        <f t="shared" si="19"/>
        <v>Unit 8 - Promotion and Sponsorship in Sport</v>
      </c>
      <c r="CZ6" s="47"/>
      <c r="DA6" s="23" t="s">
        <v>294</v>
      </c>
      <c r="DB6" s="47">
        <f>IF(COUNTIF('Extended Certificate'!$G$21:$G$29,DA6)&gt;=1,"",ROW())</f>
        <v>6</v>
      </c>
      <c r="DC6" s="49" t="str">
        <f t="shared" si="20"/>
        <v>Unit 9 - Travel and Tourism Employment Opportunities</v>
      </c>
      <c r="DD6" s="47"/>
      <c r="DE6" s="47" t="s">
        <v>47</v>
      </c>
      <c r="DF6" s="47">
        <f>IF(COUNTIF('Extended Certificate'!$G$31:$G$37,DE6)&gt;=1,"",ROW())</f>
        <v>6</v>
      </c>
      <c r="DG6" s="49" t="str">
        <f t="shared" si="21"/>
        <v>Unit 13 - Graphic Design for Digital Media</v>
      </c>
      <c r="DH6" s="47"/>
      <c r="DI6" s="47" t="s">
        <v>295</v>
      </c>
      <c r="DJ6" s="47">
        <f>IF(COUNTIF('Extended Certificate'!$G$21:$G$29,DI6)&gt;=1,"",ROW())</f>
        <v>6</v>
      </c>
      <c r="DK6" s="49" t="str">
        <f t="shared" si="22"/>
        <v>Unit 15 - Designing for the Future</v>
      </c>
      <c r="DL6" s="47"/>
      <c r="DM6" s="47" t="s">
        <v>295</v>
      </c>
      <c r="DN6" s="47">
        <f>IF(COUNTIF('Extended Certificate'!$G$21:$G$29,DM6)&gt;=1,"",ROW())</f>
        <v>6</v>
      </c>
      <c r="DO6" s="49" t="str">
        <f t="shared" si="23"/>
        <v>Unit 15 - Designing for the Future</v>
      </c>
      <c r="DP6" s="47"/>
      <c r="DQ6" s="47" t="s">
        <v>279</v>
      </c>
      <c r="DR6" s="47">
        <f>IF(COUNTIF('Extended Certificate'!$G$21:$G$29,DQ6)&gt;=1,"",ROW())</f>
        <v>6</v>
      </c>
      <c r="DS6" s="49" t="str">
        <f t="shared" si="24"/>
        <v>Unit 10 - Fashion Briefs</v>
      </c>
      <c r="DT6" s="47"/>
      <c r="DU6" s="47" t="s">
        <v>279</v>
      </c>
      <c r="DV6" s="47">
        <f>IF(COUNTIF('Extended Certificate'!$G$21:$G$29,DU6)&gt;=1,"",ROW())</f>
        <v>6</v>
      </c>
      <c r="DW6" s="49" t="str">
        <f t="shared" si="25"/>
        <v>Unit 10 - Fashion Briefs</v>
      </c>
      <c r="DX6" s="47"/>
      <c r="DY6" s="47" t="s">
        <v>296</v>
      </c>
      <c r="DZ6" s="47">
        <f>IF(COUNTIF('Extended Certificate'!$G$21:$G$29,DY6)&gt;=1,"",ROW())</f>
        <v>6</v>
      </c>
      <c r="EA6" s="49" t="str">
        <f t="shared" si="26"/>
        <v>Unit 11 - Graphic Design Briefs</v>
      </c>
      <c r="EB6" s="47"/>
      <c r="EC6" s="47" t="s">
        <v>297</v>
      </c>
      <c r="ED6" s="47">
        <f>IF(COUNTIF('Extended Certificate'!$G$21:$G$29,EC6)&gt;=1,"",ROW())</f>
        <v>6</v>
      </c>
      <c r="EE6" s="49" t="str">
        <f t="shared" si="27"/>
        <v>Unit 14 - Photography Briefs</v>
      </c>
      <c r="EF6" s="47"/>
      <c r="EG6" s="47"/>
      <c r="EH6" s="47"/>
      <c r="EI6" s="47"/>
      <c r="EJ6" s="47"/>
      <c r="EK6" s="102" t="s">
        <v>447</v>
      </c>
      <c r="EL6" s="47">
        <f>IF(COUNTIF('Extended Certificate'!$G$31:$G$37,EK6)&gt;=1,"",ROW())</f>
        <v>6</v>
      </c>
      <c r="EM6" s="49" t="str">
        <f t="shared" si="28"/>
        <v>Unit 15 - Menu Planning</v>
      </c>
      <c r="EN6" s="47"/>
      <c r="EO6" s="47" t="s">
        <v>365</v>
      </c>
      <c r="EP6" s="47">
        <f>IF(COUNTIF('Extended Certificate'!$G$31:$G$37,EO6)&gt;=1,"",ROW())</f>
        <v>6</v>
      </c>
      <c r="EQ6" s="49" t="str">
        <f t="shared" si="29"/>
        <v>Unit 15 - Music Ensemble</v>
      </c>
      <c r="ES6" s="14" t="s">
        <v>400</v>
      </c>
      <c r="ET6" s="47">
        <f>IF(COUNTIF('Extended Certificate'!$G$21:$G$29,ES6)&gt;=1,"",ROW())</f>
        <v>6</v>
      </c>
      <c r="EU6" s="49" t="str">
        <f t="shared" si="30"/>
        <v xml:space="preserve">Unit 13 - Monitoring the Environment </v>
      </c>
      <c r="EW6" t="s">
        <v>462</v>
      </c>
      <c r="EX6" s="47">
        <f>IF(COUNTIF('Extended Certificate'!$G$21:$G$29,EW6)&gt;=1,"",ROW())</f>
        <v>6</v>
      </c>
      <c r="EY6" s="49" t="str">
        <f t="shared" si="31"/>
        <v>Unit 9 - Community and Cultural Awareness</v>
      </c>
    </row>
    <row r="7" spans="1:155">
      <c r="A7" s="47" t="s">
        <v>279</v>
      </c>
      <c r="B7" s="47">
        <f>IF(COUNTIF('Extended Certificate'!$G$21:$G$29,A7)&gt;=1,"",ROW())</f>
        <v>7</v>
      </c>
      <c r="C7" s="47" t="str">
        <f t="shared" si="6"/>
        <v>Unit 10 - Fashion Briefs</v>
      </c>
      <c r="E7" s="14" t="str">
        <f>IF(AND(E23=0,E26=1),"","Unit 8 - Recruitment, Selection and Employment")</f>
        <v>Unit 8 - Recruitment, Selection and Employment</v>
      </c>
      <c r="F7" s="47">
        <f>IF(COUNTIF('Extended Certificate'!$G$21:$G$29,E7)&gt;=1,"",ROW())</f>
        <v>7</v>
      </c>
      <c r="G7" s="49" t="str">
        <f t="shared" si="7"/>
        <v>Unit 8 - Recruitment, Selection and Employment</v>
      </c>
      <c r="I7" s="47"/>
      <c r="J7" s="50"/>
      <c r="K7" s="49"/>
      <c r="L7" s="47"/>
      <c r="M7" s="14" t="str">
        <f>IF(OR(P20=1,P23=1,P26=1,P32=1),"","Unit 9 - Exploring Plumbing Principles and Techniques")</f>
        <v>Unit 9 - Exploring Plumbing Principles and Techniques</v>
      </c>
      <c r="N7" s="47">
        <f>IF(COUNTIF('Extended Certificate'!$G$21:$G$29,M7)&gt;=1,"",ROW())</f>
        <v>7</v>
      </c>
      <c r="O7" s="49" t="str">
        <f t="shared" si="8"/>
        <v>Unit 9 - Exploring Plumbing Principles and Techniques</v>
      </c>
      <c r="P7" s="47"/>
      <c r="Q7" s="47"/>
      <c r="R7" s="50"/>
      <c r="S7" s="49"/>
      <c r="T7" s="47"/>
      <c r="U7" s="14" t="s">
        <v>107</v>
      </c>
      <c r="V7" s="47">
        <f>IF(COUNTIF('Extended Certificate'!$G$21:$G$29,U7)&gt;=1,"",ROW())</f>
        <v>7</v>
      </c>
      <c r="W7" s="49" t="str">
        <f t="shared" si="10"/>
        <v>Unit 8 - Electronic Circuit Design and Construction</v>
      </c>
      <c r="X7" s="47"/>
      <c r="Y7" s="23" t="s">
        <v>299</v>
      </c>
      <c r="Z7" s="47">
        <f>IF(COUNTIF('Extended Certificate'!$G$21:$G$29,Y7)&gt;=1,"",ROW())</f>
        <v>7</v>
      </c>
      <c r="AA7" s="49" t="str">
        <f t="shared" si="11"/>
        <v>Unit 10 - Human Body Systems and Care of Disorders</v>
      </c>
      <c r="AB7" s="47"/>
      <c r="AC7" s="14"/>
      <c r="AD7" s="47"/>
      <c r="AE7" s="49"/>
      <c r="AF7" s="47"/>
      <c r="AG7" s="47"/>
      <c r="AH7" s="50"/>
      <c r="AI7" s="49"/>
      <c r="AJ7" s="47"/>
      <c r="AK7" s="23" t="s">
        <v>143</v>
      </c>
      <c r="AL7" s="47">
        <f>IF(COUNTIF('Extended Certificate'!$G$21:$G$29,AK7)&gt;=1,"",ROW())</f>
        <v>7</v>
      </c>
      <c r="AM7" s="49" t="str">
        <f t="shared" si="13"/>
        <v>Unit 9 - Spreadsheet Development</v>
      </c>
      <c r="AN7" s="47"/>
      <c r="AO7" s="14" t="s">
        <v>36</v>
      </c>
      <c r="AP7" s="47">
        <f>IF(COUNTIF('Extended Certificate'!$G$21:$G$29,AO7)&gt;=1,"",ROW())</f>
        <v>7</v>
      </c>
      <c r="AQ7" s="49" t="str">
        <f t="shared" si="14"/>
        <v>Unit 9 - Introducing Choral Studies</v>
      </c>
      <c r="AR7" s="47"/>
      <c r="AS7" s="47"/>
      <c r="AT7" s="47"/>
      <c r="AU7" s="48" t="str">
        <f t="shared" si="0"/>
        <v/>
      </c>
      <c r="AV7" s="47"/>
      <c r="AW7" s="14" t="s">
        <v>257</v>
      </c>
      <c r="AX7" s="50">
        <f>IF(COUNTIF('Extended Certificate'!$G$31:$G$37,AW7)&gt;=1,"",ROW())</f>
        <v>7</v>
      </c>
      <c r="AY7" s="49" t="str">
        <f t="shared" si="32"/>
        <v>Unit 14 - Voice and Speech for Performers</v>
      </c>
      <c r="AZ7" s="47"/>
      <c r="BA7" s="14" t="s">
        <v>257</v>
      </c>
      <c r="BB7" s="50">
        <f>IF(COUNTIF(Certificate!$G$23:$G$25,BA7)&gt;=1,"",ROW())</f>
        <v>7</v>
      </c>
      <c r="BC7" s="49" t="str">
        <f t="shared" si="1"/>
        <v>Unit 14 - Voice and Speech for Performers</v>
      </c>
      <c r="BD7" s="47"/>
      <c r="BE7" s="14" t="s">
        <v>257</v>
      </c>
      <c r="BF7" s="50">
        <f>IF(COUNTIF('Extended Certificate'!$G$21:$G$29,BE7)&gt;=1,"",ROW())</f>
        <v>7</v>
      </c>
      <c r="BG7" s="49" t="str">
        <f t="shared" si="15"/>
        <v>Unit 14 - Voice and Speech for Performers</v>
      </c>
      <c r="BH7" s="47"/>
      <c r="BM7" s="14" t="s">
        <v>307</v>
      </c>
      <c r="BN7" s="50">
        <f>IF(COUNTIF('Extended Certificate'!$G$39,BM7)&gt;=1,"",ROW())</f>
        <v>7</v>
      </c>
      <c r="BO7" s="47" t="str">
        <f t="shared" si="2"/>
        <v>Unit 24 - Lighting for Performance</v>
      </c>
      <c r="BP7" s="47"/>
      <c r="BQ7" s="14"/>
      <c r="BR7" s="50"/>
      <c r="BS7" s="49"/>
      <c r="BT7" s="47"/>
      <c r="BU7" s="14" t="s">
        <v>276</v>
      </c>
      <c r="BV7" s="50">
        <f>IF(COUNTIF('Extended Certificate'!$G$21:$G$29,BU7)&gt;=1,"",ROW())</f>
        <v>7</v>
      </c>
      <c r="BW7" s="49" t="str">
        <f t="shared" si="3"/>
        <v>Unit 18 - Jazz Dance Techniques</v>
      </c>
      <c r="BX7" s="47"/>
      <c r="CB7" s="47"/>
      <c r="CC7" s="14" t="s">
        <v>307</v>
      </c>
      <c r="CD7" s="50">
        <f>IF(COUNTIF('Extended Certificate'!$G$39,CC7)&gt;=1,"",ROW())</f>
        <v>7</v>
      </c>
      <c r="CE7" s="47" t="str">
        <f t="shared" si="17"/>
        <v>Unit 24 - Lighting for Performance</v>
      </c>
      <c r="CF7" s="47"/>
      <c r="CG7" s="47"/>
      <c r="CH7" s="47"/>
      <c r="CI7" s="47"/>
      <c r="CJ7" s="47"/>
      <c r="CK7" s="14" t="s">
        <v>277</v>
      </c>
      <c r="CL7" s="50">
        <f>IF(COUNTIF(Certificate!$G$23:$G$25,CK7)&gt;=1,"",ROW())</f>
        <v>7</v>
      </c>
      <c r="CM7" s="47" t="str">
        <f t="shared" si="4"/>
        <v>Unit 20 - Realising Costume Design for Performance</v>
      </c>
      <c r="CN7" s="47"/>
      <c r="CO7" s="14" t="s">
        <v>300</v>
      </c>
      <c r="CP7" s="50">
        <f>IF(COUNTIF('Extended Certificate'!$G$21:$G$29,CO7)&gt;=1,"",ROW())</f>
        <v>7</v>
      </c>
      <c r="CQ7" s="49" t="str">
        <f t="shared" si="5"/>
        <v>Unit 23 - Realising Mask Design for Performance</v>
      </c>
      <c r="CR7" s="47"/>
      <c r="CS7" s="14" t="s">
        <v>258</v>
      </c>
      <c r="CT7" s="50">
        <f>IF(COUNTIF('Extended Certificate'!$G$31:$G$37,CS7)&gt;=1,"",ROW())</f>
        <v>7</v>
      </c>
      <c r="CU7" s="47" t="str">
        <f t="shared" si="18"/>
        <v>Unit 15 - Performing Scripted Plays</v>
      </c>
      <c r="CV7" s="47"/>
      <c r="CW7" s="23" t="s">
        <v>301</v>
      </c>
      <c r="CX7" s="47">
        <f>IF(COUNTIF('Extended Certificate'!$G$21:$G$29,CW7)&gt;=1,"",ROW())</f>
        <v>7</v>
      </c>
      <c r="CY7" s="49" t="str">
        <f t="shared" si="19"/>
        <v>Unit 9 - Lifestyle and Well-being</v>
      </c>
      <c r="CZ7" s="47"/>
      <c r="DA7" s="23" t="s">
        <v>302</v>
      </c>
      <c r="DB7" s="47">
        <f>IF(COUNTIF('Extended Certificate'!$G$21:$G$29,DA7)&gt;=1,"",ROW())</f>
        <v>7</v>
      </c>
      <c r="DC7" s="49" t="str">
        <f t="shared" si="20"/>
        <v>Unit 10 - Organising a Travel and Tourism Study Visit</v>
      </c>
      <c r="DD7" s="47"/>
      <c r="DE7" s="47" t="s">
        <v>48</v>
      </c>
      <c r="DF7" s="47">
        <f>IF(COUNTIF('Extended Certificate'!$G$31:$G$37,DE7)&gt;=1,"",ROW())</f>
        <v>7</v>
      </c>
      <c r="DG7" s="49" t="str">
        <f t="shared" si="21"/>
        <v>Unit 14 - Writing for Digital Media</v>
      </c>
      <c r="DH7" s="47"/>
      <c r="DI7" s="47" t="s">
        <v>412</v>
      </c>
      <c r="DJ7" s="47">
        <f>IF(COUNTIF('Extended Certificate'!$G$21:$G$29,DI7)&gt;=1,"",ROW())</f>
        <v>7</v>
      </c>
      <c r="DK7" s="49" t="str">
        <f t="shared" si="22"/>
        <v>Unit 16 - Applying Contextual References in Art and Design</v>
      </c>
      <c r="DL7" s="47"/>
      <c r="DM7" s="47" t="s">
        <v>412</v>
      </c>
      <c r="DN7" s="47">
        <f>IF(COUNTIF('Extended Certificate'!$G$21:$G$29,DM7)&gt;=1,"",ROW())</f>
        <v>7</v>
      </c>
      <c r="DO7" s="49" t="str">
        <f t="shared" si="23"/>
        <v>Unit 16 - Applying Contextual References in Art and Design</v>
      </c>
      <c r="DP7" s="47"/>
      <c r="DQ7" s="47" t="s">
        <v>295</v>
      </c>
      <c r="DR7" s="47">
        <f>IF(COUNTIF('Extended Certificate'!$G$21:$G$29,DQ7)&gt;=1,"",ROW())</f>
        <v>7</v>
      </c>
      <c r="DS7" s="49" t="str">
        <f t="shared" si="24"/>
        <v>Unit 15 - Designing for the Future</v>
      </c>
      <c r="DT7" s="47"/>
      <c r="DU7" s="47" t="str">
        <f>IF(DU15=1,"","Unit 11 - Graphic Design Briefs")</f>
        <v>Unit 11 - Graphic Design Briefs</v>
      </c>
      <c r="DV7" s="47">
        <f>IF(COUNTIF('Extended Certificate'!$G$21:$G$29,DU7)&gt;=1,"",ROW())</f>
        <v>7</v>
      </c>
      <c r="DW7" s="49" t="str">
        <f t="shared" si="25"/>
        <v>Unit 11 - Graphic Design Briefs</v>
      </c>
      <c r="DX7" s="47"/>
      <c r="DY7" s="47" t="s">
        <v>288</v>
      </c>
      <c r="DZ7" s="47">
        <f>IF(COUNTIF('Extended Certificate'!$G$21:$G$29,DY7)&gt;=1,"",ROW())</f>
        <v>7</v>
      </c>
      <c r="EA7" s="49" t="str">
        <f t="shared" si="26"/>
        <v>Unit 12 - Textiles Briefs</v>
      </c>
      <c r="EB7" s="47"/>
      <c r="EC7" s="47" t="s">
        <v>295</v>
      </c>
      <c r="ED7" s="47">
        <f>IF(COUNTIF('Extended Certificate'!$G$21:$G$29,EC7)&gt;=1,"",ROW())</f>
        <v>7</v>
      </c>
      <c r="EE7" s="49" t="str">
        <f t="shared" si="27"/>
        <v>Unit 15 - Designing for the Future</v>
      </c>
      <c r="EF7" s="47"/>
      <c r="EG7" s="47"/>
      <c r="EH7" s="47"/>
      <c r="EI7" s="47"/>
      <c r="EJ7" s="47"/>
      <c r="EK7" s="102" t="s">
        <v>448</v>
      </c>
      <c r="EL7" s="47">
        <f>IF(COUNTIF('Extended Certificate'!$G$31:$G$37,EK7)&gt;=1,"",ROW())</f>
        <v>7</v>
      </c>
      <c r="EM7" s="49" t="str">
        <f t="shared" si="28"/>
        <v>Unit 16 - Managing Finance in Hospitality</v>
      </c>
      <c r="EN7" s="47"/>
      <c r="EO7" s="47" t="s">
        <v>452</v>
      </c>
      <c r="EP7" s="47">
        <f>IF(COUNTIF('Extended Certificate'!$G$31:$G$37,EO7)&gt;=1,"",ROW())</f>
        <v>7</v>
      </c>
      <c r="EQ7" s="49" t="str">
        <f t="shared" si="29"/>
        <v>Unit 18 - Developing Modern Music Production Skills</v>
      </c>
      <c r="ES7" s="14" t="s">
        <v>401</v>
      </c>
      <c r="ET7" s="47">
        <f>IF(COUNTIF('Extended Certificate'!$G$21:$G$29,ES7)&gt;=1,"",ROW())</f>
        <v>7</v>
      </c>
      <c r="EU7" s="49" t="str">
        <f t="shared" si="30"/>
        <v xml:space="preserve">Unit 14 - Growing Plants for Food </v>
      </c>
      <c r="EW7" t="str">
        <f>IF(EW23=1,"","Unit 10 - Adventurous Activities in the Public Services")</f>
        <v>Unit 10 - Adventurous Activities in the Public Services</v>
      </c>
      <c r="EX7" s="47">
        <f>IF(COUNTIF('Extended Certificate'!$G$21:$G$29,EW7)&gt;=1,"",ROW())</f>
        <v>7</v>
      </c>
      <c r="EY7" s="49" t="str">
        <f t="shared" si="31"/>
        <v>Unit 10 - Adventurous Activities in the Public Services</v>
      </c>
    </row>
    <row r="8" spans="1:155">
      <c r="A8" s="47" t="str">
        <f>IF(A23=1,"","Unit 11 - Graphic Design Briefs")</f>
        <v>Unit 11 - Graphic Design Briefs</v>
      </c>
      <c r="B8" s="47">
        <f>IF(COUNTIF('Extended Certificate'!$G$21:$G$29,A8)&gt;=1,"",ROW())</f>
        <v>8</v>
      </c>
      <c r="C8" s="47" t="str">
        <f t="shared" si="6"/>
        <v>Unit 11 - Graphic Design Briefs</v>
      </c>
      <c r="E8" s="33" t="str">
        <f>IF(AND(E23=0,E26=1),"","Unit 10 - Using Business Documentation")</f>
        <v>Unit 10 - Using Business Documentation</v>
      </c>
      <c r="F8" s="47">
        <f>IF(COUNTIF('Extended Certificate'!$G$21:$G$29,E8)&gt;=1,"",ROW())</f>
        <v>8</v>
      </c>
      <c r="G8" s="49" t="str">
        <f t="shared" si="7"/>
        <v>Unit 10 - Using Business Documentation</v>
      </c>
      <c r="I8" s="47"/>
      <c r="J8" s="47"/>
      <c r="K8" s="47"/>
      <c r="L8" s="47"/>
      <c r="M8" s="14" t="str">
        <f>IF(OR(P20=1,P23=1,P26=1,P29=1),"","Unit 10 - Exploring Electrical Principles and Techniques")</f>
        <v>Unit 10 - Exploring Electrical Principles and Techniques</v>
      </c>
      <c r="N8" s="47">
        <f>IF(COUNTIF('Extended Certificate'!$G$21:$G$29,M8)&gt;=1,"",ROW())</f>
        <v>8</v>
      </c>
      <c r="O8" s="49" t="str">
        <f t="shared" si="8"/>
        <v>Unit 10 - Exploring Electrical Principles and Techniques</v>
      </c>
      <c r="P8" s="47"/>
      <c r="Q8" s="47"/>
      <c r="R8" s="47"/>
      <c r="S8" s="47"/>
      <c r="T8" s="47"/>
      <c r="U8" s="23" t="s">
        <v>304</v>
      </c>
      <c r="V8" s="47">
        <f>IF(COUNTIF('Extended Certificate'!$G$21:$G$29,U8)&gt;=1,"",ROW())</f>
        <v>8</v>
      </c>
      <c r="W8" s="49" t="str">
        <f t="shared" si="10"/>
        <v>Unit 11 - Electrical and Mechanical Science for Engineering</v>
      </c>
      <c r="X8" s="47"/>
      <c r="Y8" s="23" t="s">
        <v>305</v>
      </c>
      <c r="Z8" s="47">
        <f>IF(COUNTIF('Extended Certificate'!$G$21:$G$29,Y8)&gt;=1,"",ROW())</f>
        <v>8</v>
      </c>
      <c r="AA8" s="49" t="str">
        <f t="shared" si="11"/>
        <v>Unit 11 - Services in Health and Social Care</v>
      </c>
      <c r="AB8" s="47"/>
      <c r="AC8" s="47"/>
      <c r="AD8" s="47"/>
      <c r="AE8" s="47"/>
      <c r="AF8" s="47"/>
      <c r="AG8" s="47"/>
      <c r="AH8" s="47"/>
      <c r="AI8" s="47"/>
      <c r="AJ8" s="47"/>
      <c r="AK8" s="23" t="s">
        <v>306</v>
      </c>
      <c r="AL8" s="47">
        <f>IF(COUNTIF('Extended Certificate'!$G$21:$G$29,AK8)&gt;=1,"",ROW())</f>
        <v>8</v>
      </c>
      <c r="AM8" s="49" t="str">
        <f t="shared" si="13"/>
        <v>Unit 10 - Database Development</v>
      </c>
      <c r="AN8" s="47"/>
      <c r="AO8" s="14" t="s">
        <v>37</v>
      </c>
      <c r="AP8" s="47">
        <f>IF(COUNTIF('Extended Certificate'!$G$21:$G$29,AO8)&gt;=1,"",ROW())</f>
        <v>8</v>
      </c>
      <c r="AQ8" s="49" t="str">
        <f t="shared" si="14"/>
        <v>Unit 10 - Introducing Music Theory</v>
      </c>
      <c r="AR8" s="47"/>
      <c r="AS8" s="47"/>
      <c r="AT8" s="47"/>
      <c r="AU8" s="47"/>
      <c r="AV8" s="47"/>
      <c r="AW8" s="14" t="s">
        <v>258</v>
      </c>
      <c r="AX8" s="50">
        <f>IF(COUNTIF('Extended Certificate'!$G$31:$G$37,AW8)&gt;=1,"",ROW())</f>
        <v>8</v>
      </c>
      <c r="AY8" s="49" t="str">
        <f t="shared" si="32"/>
        <v>Unit 15 - Performing Scripted Plays</v>
      </c>
      <c r="AZ8" s="47"/>
      <c r="BA8" s="14" t="s">
        <v>258</v>
      </c>
      <c r="BB8" s="50">
        <f>IF(COUNTIF(Certificate!$G$23:$G$25,BA8)&gt;=1,"",ROW())</f>
        <v>8</v>
      </c>
      <c r="BC8" s="49" t="str">
        <f t="shared" si="1"/>
        <v>Unit 15 - Performing Scripted Plays</v>
      </c>
      <c r="BD8" s="47"/>
      <c r="BE8" s="14" t="s">
        <v>258</v>
      </c>
      <c r="BF8" s="50">
        <f>IF(COUNTIF('Extended Certificate'!$G$21:$G$29,BE8)&gt;=1,"",ROW())</f>
        <v>8</v>
      </c>
      <c r="BG8" s="49" t="str">
        <f t="shared" si="15"/>
        <v>Unit 15 - Performing Scripted Plays</v>
      </c>
      <c r="BH8" s="47"/>
      <c r="BM8" s="14" t="s">
        <v>312</v>
      </c>
      <c r="BN8" s="50">
        <f>IF(COUNTIF('Extended Certificate'!$G$39,BM8)&gt;=1,"",ROW())</f>
        <v>8</v>
      </c>
      <c r="BO8" s="47" t="str">
        <f t="shared" si="2"/>
        <v>Unit 25 - Sound for Performance</v>
      </c>
      <c r="BP8" s="47"/>
      <c r="BQ8" s="14"/>
      <c r="BR8" s="50"/>
      <c r="BS8" s="49"/>
      <c r="BT8" s="47"/>
      <c r="BU8" s="47"/>
      <c r="BV8" s="47"/>
      <c r="BW8" s="47"/>
      <c r="BX8" s="47"/>
      <c r="CB8" s="47"/>
      <c r="CC8" s="14" t="s">
        <v>312</v>
      </c>
      <c r="CD8" s="50">
        <f>IF(COUNTIF('Extended Certificate'!$G$39,CC8)&gt;=1,"",ROW())</f>
        <v>8</v>
      </c>
      <c r="CE8" s="47" t="str">
        <f t="shared" si="17"/>
        <v>Unit 25 - Sound for Performance</v>
      </c>
      <c r="CF8" s="47"/>
      <c r="CG8" s="47"/>
      <c r="CH8" s="47"/>
      <c r="CI8" s="47"/>
      <c r="CJ8" s="47"/>
      <c r="CK8" s="14" t="s">
        <v>285</v>
      </c>
      <c r="CL8" s="50">
        <f>IF(COUNTIF(Certificate!$G$23:$G$25,CK8)&gt;=1,"",ROW())</f>
        <v>8</v>
      </c>
      <c r="CM8" s="47" t="str">
        <f t="shared" si="4"/>
        <v>Unit 21 - Realising Set Design for Performance</v>
      </c>
      <c r="CN8" s="47"/>
      <c r="CO8" s="14" t="s">
        <v>307</v>
      </c>
      <c r="CP8" s="50">
        <f>IF(COUNTIF('Extended Certificate'!$G$21:$G$29,CO8)&gt;=1,"",ROW())</f>
        <v>8</v>
      </c>
      <c r="CQ8" s="49" t="str">
        <f t="shared" si="5"/>
        <v>Unit 24 - Lighting for Performance</v>
      </c>
      <c r="CR8" s="47"/>
      <c r="CS8" s="14" t="s">
        <v>255</v>
      </c>
      <c r="CT8" s="50">
        <f>IF(COUNTIF('Extended Certificate'!$G$31:$G$37,CS8)&gt;=1,"",ROW())</f>
        <v>8</v>
      </c>
      <c r="CU8" s="47" t="str">
        <f t="shared" si="18"/>
        <v>Unit 16 - Contemporary Dance Techniques</v>
      </c>
      <c r="CV8" s="47"/>
      <c r="CW8" s="23" t="s">
        <v>308</v>
      </c>
      <c r="CX8" s="47">
        <f>IF(COUNTIF('Extended Certificate'!$G$21:$G$29,CW8)&gt;=1,"",ROW())</f>
        <v>8</v>
      </c>
      <c r="CY8" s="49" t="str">
        <f t="shared" si="19"/>
        <v>Unit 10 - Injury and the Sports Performer</v>
      </c>
      <c r="CZ8" s="47"/>
      <c r="DA8" s="93" t="s">
        <v>434</v>
      </c>
      <c r="DB8" s="47">
        <f>IF(COUNTIF('Extended Certificate'!$G$21:$G$29,DA8)&gt;=1,"",ROW())</f>
        <v>8</v>
      </c>
      <c r="DC8" s="49" t="str">
        <f t="shared" si="20"/>
        <v>Unit 16 - Holiday Representatives</v>
      </c>
      <c r="DD8" s="47"/>
      <c r="DE8" s="47" t="s">
        <v>360</v>
      </c>
      <c r="DF8" s="47">
        <f>IF(COUNTIF('Extended Certificate'!$G$31:$G$37,DE8)&gt;=1,"",ROW())</f>
        <v>8</v>
      </c>
      <c r="DG8" s="49" t="str">
        <f t="shared" si="21"/>
        <v>Unit 15 - Digital Games Testing</v>
      </c>
      <c r="DH8" s="47"/>
      <c r="DI8" s="47" t="s">
        <v>443</v>
      </c>
      <c r="DJ8" s="47">
        <f>IF(COUNTIF('Extended Certificate'!$G$21:$G$29,DI8)&gt;=1,"",ROW())</f>
        <v>8</v>
      </c>
      <c r="DK8" s="49" t="str">
        <f t="shared" si="22"/>
        <v>Unit 17 - Art, Craft and Design in the Creative Industries</v>
      </c>
      <c r="DL8" s="47"/>
      <c r="DM8" s="47" t="s">
        <v>443</v>
      </c>
      <c r="DN8" s="47">
        <f>IF(COUNTIF('Extended Certificate'!$G$21:$G$29,DM8)&gt;=1,"",ROW())</f>
        <v>8</v>
      </c>
      <c r="DO8" s="49" t="str">
        <f t="shared" si="23"/>
        <v>Unit 17 - Art, Craft and Design in the Creative Industries</v>
      </c>
      <c r="DP8" s="47"/>
      <c r="DQ8" s="47" t="s">
        <v>412</v>
      </c>
      <c r="DR8" s="47">
        <f>IF(COUNTIF('Extended Certificate'!$G$21:$G$29,DQ8)&gt;=1,"",ROW())</f>
        <v>8</v>
      </c>
      <c r="DS8" s="49" t="str">
        <f t="shared" si="24"/>
        <v>Unit 16 - Applying Contextual References in Art and Design</v>
      </c>
      <c r="DT8" s="47"/>
      <c r="DU8" s="47" t="s">
        <v>288</v>
      </c>
      <c r="DV8" s="47">
        <f>IF(COUNTIF('Extended Certificate'!$G$21:$G$29,DU8)&gt;=1,"",ROW())</f>
        <v>8</v>
      </c>
      <c r="DW8" s="49" t="str">
        <f t="shared" si="25"/>
        <v>Unit 12 - Textiles Briefs</v>
      </c>
      <c r="DX8" s="47"/>
      <c r="DY8" s="47" t="s">
        <v>297</v>
      </c>
      <c r="DZ8" s="47">
        <f>IF(COUNTIF('Extended Certificate'!$G$21:$G$29,DY8)&gt;=1,"",ROW())</f>
        <v>8</v>
      </c>
      <c r="EA8" s="49" t="str">
        <f t="shared" si="26"/>
        <v>Unit 14 - Photography Briefs</v>
      </c>
      <c r="EB8" s="47"/>
      <c r="EC8" s="47" t="s">
        <v>412</v>
      </c>
      <c r="ED8" s="47">
        <f>IF(COUNTIF('Extended Certificate'!$G$21:$G$29,EC8)&gt;=1,"",ROW())</f>
        <v>8</v>
      </c>
      <c r="EE8" s="49" t="str">
        <f t="shared" si="27"/>
        <v>Unit 16 - Applying Contextual References in Art and Design</v>
      </c>
      <c r="EF8" s="47"/>
      <c r="EG8" s="47"/>
      <c r="EH8" s="47"/>
      <c r="EI8" s="47"/>
      <c r="EJ8" s="47"/>
      <c r="EK8" s="47" t="s">
        <v>449</v>
      </c>
      <c r="EL8" s="47">
        <f>IF(COUNTIF('Extended Certificate'!$G$31:$G$37,EK8)&gt;=1,"",ROW())</f>
        <v>8</v>
      </c>
      <c r="EM8" s="49" t="str">
        <f t="shared" si="28"/>
        <v>Unit 17 - Alcohol Awareness in Hospitality</v>
      </c>
      <c r="EN8" s="47"/>
      <c r="EO8" s="47" t="s">
        <v>453</v>
      </c>
      <c r="EP8" s="47">
        <f>IF(COUNTIF('Extended Certificate'!$G$31:$G$37,EO8)&gt;=1,"",ROW())</f>
        <v>8</v>
      </c>
      <c r="EQ8" s="49" t="str">
        <f t="shared" si="29"/>
        <v>Unit 19 - Developing Music Theory</v>
      </c>
      <c r="ES8" s="14" t="s">
        <v>402</v>
      </c>
      <c r="ET8" s="47">
        <f>IF(COUNTIF('Extended Certificate'!$G$21:$G$29,ES8)&gt;=1,"",ROW())</f>
        <v>8</v>
      </c>
      <c r="EU8" s="49" t="str">
        <f t="shared" si="30"/>
        <v xml:space="preserve">Unit 15 - Investigating a Crime Scene </v>
      </c>
      <c r="EW8" t="s">
        <v>464</v>
      </c>
      <c r="EX8" s="47">
        <f>IF(COUNTIF('Extended Certificate'!$G$21:$G$29,EW8)&gt;=1,"",ROW())</f>
        <v>8</v>
      </c>
      <c r="EY8" s="49" t="str">
        <f t="shared" si="31"/>
        <v>Unit 11 - Sport and Recreation in the Public Services</v>
      </c>
    </row>
    <row r="9" spans="1:155">
      <c r="A9" s="47" t="s">
        <v>288</v>
      </c>
      <c r="B9" s="47">
        <f>IF(COUNTIF('Extended Certificate'!$G$21:$G$29,A9)&gt;=1,"",ROW())</f>
        <v>9</v>
      </c>
      <c r="C9" s="47" t="str">
        <f t="shared" si="6"/>
        <v>Unit 12 - Textiles Briefs</v>
      </c>
      <c r="E9" s="33" t="str">
        <f>IF(AND(E23=0,E26=1),"","Unit 11 - Building Successful Business Teams")</f>
        <v>Unit 11 - Building Successful Business Teams</v>
      </c>
      <c r="F9" s="47">
        <f>IF(COUNTIF('Extended Certificate'!$G$21:$G$29,E9)&gt;=1,"",ROW())</f>
        <v>9</v>
      </c>
      <c r="G9" s="49" t="str">
        <f t="shared" si="7"/>
        <v>Unit 11 - Building Successful Business Teams</v>
      </c>
      <c r="I9" s="47"/>
      <c r="J9" s="47"/>
      <c r="K9" s="47"/>
      <c r="L9" s="47"/>
      <c r="M9" s="23" t="str">
        <f>IF(OR(P20=1,P23=1,P26=1,P29=1,P32=1),"","Unit 12 - The Construction Industry")</f>
        <v>Unit 12 - The Construction Industry</v>
      </c>
      <c r="N9" s="47">
        <f>IF(COUNTIF('Extended Certificate'!$G$21:$G$29,M9)&gt;=1,"",ROW())</f>
        <v>9</v>
      </c>
      <c r="O9" s="49" t="str">
        <f t="shared" si="8"/>
        <v>Unit 12 - The Construction Industry</v>
      </c>
      <c r="P9" s="47"/>
      <c r="Q9" s="47"/>
      <c r="R9" s="47"/>
      <c r="S9" s="47"/>
      <c r="T9" s="47"/>
      <c r="U9" s="23" t="s">
        <v>310</v>
      </c>
      <c r="V9" s="47">
        <f>IF(COUNTIF('Extended Certificate'!$G$21:$G$29,U9)&gt;=1,"",ROW())</f>
        <v>9</v>
      </c>
      <c r="W9" s="49" t="str">
        <f t="shared" si="10"/>
        <v>Unit 12 - Engineering Design</v>
      </c>
      <c r="X9" s="47"/>
      <c r="Y9" s="23" t="s">
        <v>311</v>
      </c>
      <c r="Z9" s="47">
        <f>IF(COUNTIF('Extended Certificate'!$G$21:$G$29,Y9)&gt;=1,"",ROW())</f>
        <v>9</v>
      </c>
      <c r="AA9" s="49" t="str">
        <f t="shared" si="11"/>
        <v>Unit 12 - Creative and Therapeutic Activities in Health and Social Care</v>
      </c>
      <c r="AB9" s="47"/>
      <c r="AC9" s="47"/>
      <c r="AD9" s="47"/>
      <c r="AE9" s="47"/>
      <c r="AF9" s="47"/>
      <c r="AG9" s="47"/>
      <c r="AH9" s="47"/>
      <c r="AI9" s="47"/>
      <c r="AJ9" s="47"/>
      <c r="AK9" s="23" t="s">
        <v>144</v>
      </c>
      <c r="AL9" s="47">
        <f>IF(COUNTIF('Extended Certificate'!$G$21:$G$29,AK9)&gt;=1,"",ROW())</f>
        <v>9</v>
      </c>
      <c r="AM9" s="49" t="str">
        <f t="shared" si="13"/>
        <v>Unit 11 - Computer Networks</v>
      </c>
      <c r="AN9" s="47"/>
      <c r="AR9" s="47"/>
      <c r="AS9" s="47"/>
      <c r="AT9" s="47"/>
      <c r="AU9" s="47"/>
      <c r="AV9" s="47"/>
      <c r="AW9" s="14" t="s">
        <v>255</v>
      </c>
      <c r="AX9" s="50">
        <f>IF(COUNTIF('Extended Certificate'!$G$31:$G$37,AW9)&gt;=1,"",ROW())</f>
        <v>9</v>
      </c>
      <c r="AY9" s="49" t="str">
        <f t="shared" si="32"/>
        <v>Unit 16 - Contemporary Dance Techniques</v>
      </c>
      <c r="AZ9" s="47"/>
      <c r="BA9" s="14" t="s">
        <v>255</v>
      </c>
      <c r="BB9" s="50">
        <f>IF(COUNTIF(Certificate!$G$23:$G$25,BA9)&gt;=1,"",ROW())</f>
        <v>9</v>
      </c>
      <c r="BC9" s="49" t="str">
        <f t="shared" si="1"/>
        <v>Unit 16 - Contemporary Dance Techniques</v>
      </c>
      <c r="BD9" s="47"/>
      <c r="BE9" s="47"/>
      <c r="BF9" s="47"/>
      <c r="BG9" s="47"/>
      <c r="BH9" s="47"/>
      <c r="BM9" s="23" t="s">
        <v>317</v>
      </c>
      <c r="BN9" s="50">
        <f>IF(COUNTIF('Extended Certificate'!$G$39,BM9)&gt;=1,"",ROW())</f>
        <v>9</v>
      </c>
      <c r="BO9" s="47" t="str">
        <f t="shared" si="2"/>
        <v>Unit 28 - Make-up for Performance</v>
      </c>
      <c r="BP9" s="47"/>
      <c r="BQ9" s="14"/>
      <c r="BR9" s="50"/>
      <c r="BS9" s="49"/>
      <c r="BT9" s="47"/>
      <c r="BU9" s="47"/>
      <c r="BV9" s="47"/>
      <c r="BW9" s="47"/>
      <c r="BX9" s="47"/>
      <c r="CB9" s="47"/>
      <c r="CC9" s="23" t="s">
        <v>317</v>
      </c>
      <c r="CD9" s="50">
        <f>IF(COUNTIF('Extended Certificate'!$G$39,CC9)&gt;=1,"",ROW())</f>
        <v>9</v>
      </c>
      <c r="CE9" s="47" t="str">
        <f t="shared" si="17"/>
        <v>Unit 28 - Make-up for Performance</v>
      </c>
      <c r="CF9" s="47"/>
      <c r="CG9" s="47"/>
      <c r="CH9" s="47"/>
      <c r="CI9" s="47"/>
      <c r="CJ9" s="47"/>
      <c r="CK9" s="14" t="s">
        <v>292</v>
      </c>
      <c r="CL9" s="50">
        <f>IF(COUNTIF(Certificate!$G$23:$G$25,CK9)&gt;=1,"",ROW())</f>
        <v>9</v>
      </c>
      <c r="CM9" s="47" t="str">
        <f t="shared" si="4"/>
        <v>Unit 22 - Realising Prop Design for Performance</v>
      </c>
      <c r="CN9" s="47"/>
      <c r="CO9" s="14" t="s">
        <v>312</v>
      </c>
      <c r="CP9" s="50">
        <f>IF(COUNTIF('Extended Certificate'!$G$21:$G$29,CO9)&gt;=1,"",ROW())</f>
        <v>9</v>
      </c>
      <c r="CQ9" s="49" t="str">
        <f t="shared" si="5"/>
        <v>Unit 25 - Sound for Performance</v>
      </c>
      <c r="CR9" s="47"/>
      <c r="CS9" s="14" t="s">
        <v>268</v>
      </c>
      <c r="CT9" s="50">
        <f>IF(COUNTIF('Extended Certificate'!$G$31:$G$37,CS9)&gt;=1,"",ROW())</f>
        <v>9</v>
      </c>
      <c r="CU9" s="47" t="str">
        <f t="shared" si="18"/>
        <v>Unit 17 - Exploring Urban Dance Styles</v>
      </c>
      <c r="CV9" s="47"/>
      <c r="CW9" s="23" t="s">
        <v>313</v>
      </c>
      <c r="CX9" s="47">
        <f>IF(COUNTIF('Extended Certificate'!$G$21:$G$29,CW9)&gt;=1,"",ROW())</f>
        <v>9</v>
      </c>
      <c r="CY9" s="49" t="str">
        <f t="shared" si="19"/>
        <v>Unit 11 - Running a Sports Event</v>
      </c>
      <c r="CZ9" s="47"/>
      <c r="DA9" s="47" t="s">
        <v>435</v>
      </c>
      <c r="DB9" s="47">
        <f>IF(COUNTIF('Extended Certificate'!$G$21:$G$29,DA9)&gt;=1,"",ROW())</f>
        <v>9</v>
      </c>
      <c r="DC9" s="49" t="str">
        <f t="shared" si="20"/>
        <v>Unit 17 - UK Travel Agency Operations</v>
      </c>
      <c r="DD9" s="47"/>
      <c r="DE9" s="47" t="s">
        <v>422</v>
      </c>
      <c r="DF9" s="47">
        <f>IF(COUNTIF('Extended Certificate'!$G$31:$G$37,DE9)&gt;=1,"",ROW())</f>
        <v>9</v>
      </c>
      <c r="DG9" s="49" t="str">
        <f t="shared" si="21"/>
        <v xml:space="preserve">Unit 16 - Digital Art for a Media Product </v>
      </c>
      <c r="DH9" s="47"/>
      <c r="DI9" s="47" t="str">
        <f>IF(DI14=1,"","Unit 21 - Painting Briefs")</f>
        <v>Unit 21 - Painting Briefs</v>
      </c>
      <c r="DJ9" s="47">
        <f>IF(COUNTIF('Extended Certificate'!$G$21:$G$29,DI9)&gt;=1,"",ROW())</f>
        <v>9</v>
      </c>
      <c r="DK9" s="49" t="str">
        <f t="shared" si="22"/>
        <v>Unit 21 - Painting Briefs</v>
      </c>
      <c r="DL9" s="47"/>
      <c r="DM9" s="47" t="s">
        <v>416</v>
      </c>
      <c r="DN9" s="47">
        <f>IF(COUNTIF('Extended Certificate'!$G$21:$G$29,DM9)&gt;=1,"",ROW())</f>
        <v>9</v>
      </c>
      <c r="DO9" s="49" t="str">
        <f>IF(ROW(DM9)-ROW(DM$2)+1&gt;COUNT(DN$2:DN$9),"",INDEX(DM:DM,SMALL(DN$2:DN$9,1+ROW(DM9)-ROW(DM$2))))</f>
        <v>Unit 22 - Designing Products</v>
      </c>
      <c r="DP9" s="47"/>
      <c r="DQ9" s="47" t="s">
        <v>443</v>
      </c>
      <c r="DR9" s="47">
        <f>IF(COUNTIF('Extended Certificate'!$G$21:$G$29,DQ9)&gt;=1,"",ROW())</f>
        <v>9</v>
      </c>
      <c r="DS9" s="49" t="str">
        <f t="shared" si="24"/>
        <v>Unit 17 - Art, Craft and Design in the Creative Industries</v>
      </c>
      <c r="DT9" s="47"/>
      <c r="DU9" s="47" t="s">
        <v>412</v>
      </c>
      <c r="DV9" s="47">
        <f>IF(COUNTIF('Extended Certificate'!$G$21:$G$29,DU9)&gt;=1,"",ROW())</f>
        <v>9</v>
      </c>
      <c r="DW9" s="49" t="str">
        <f t="shared" si="25"/>
        <v>Unit 16 - Applying Contextual References in Art and Design</v>
      </c>
      <c r="DX9" s="47"/>
      <c r="DY9" s="47" t="s">
        <v>412</v>
      </c>
      <c r="DZ9" s="47">
        <f>IF(COUNTIF('Extended Certificate'!$G$21:$G$29,DY9)&gt;=1,"",ROW())</f>
        <v>9</v>
      </c>
      <c r="EA9" s="49" t="str">
        <f t="shared" si="26"/>
        <v>Unit 16 - Applying Contextual References in Art and Design</v>
      </c>
      <c r="EB9" s="47"/>
      <c r="EC9" s="47" t="s">
        <v>443</v>
      </c>
      <c r="ED9" s="47">
        <f>IF(COUNTIF('Extended Certificate'!$G$21:$G$29,EC9)&gt;=1,"",ROW())</f>
        <v>9</v>
      </c>
      <c r="EE9" s="49" t="str">
        <f t="shared" si="27"/>
        <v>Unit 17 - Art, Craft and Design in the Creative Industries</v>
      </c>
      <c r="EF9" s="47"/>
      <c r="EG9" s="47"/>
      <c r="EH9" s="47"/>
      <c r="EI9" s="47"/>
      <c r="EJ9" s="47"/>
      <c r="EK9" s="47"/>
      <c r="EL9" s="47"/>
      <c r="EM9" s="47"/>
      <c r="EN9" s="47"/>
      <c r="EO9" s="47" t="s">
        <v>454</v>
      </c>
      <c r="EP9" s="47">
        <f>IF(COUNTIF('Extended Certificate'!$G$31:$G$37,EO9)&gt;=1,"",ROW())</f>
        <v>9</v>
      </c>
      <c r="EQ9" s="49" t="str">
        <f t="shared" si="29"/>
        <v>Unit 20 - Music Fusion</v>
      </c>
      <c r="ES9" s="14" t="s">
        <v>403</v>
      </c>
      <c r="ET9" s="47">
        <f>IF(COUNTIF('Extended Certificate'!$G$21:$G$29,ES9)&gt;=1,"",ROW())</f>
        <v>9</v>
      </c>
      <c r="EU9" s="49" t="str">
        <f t="shared" si="30"/>
        <v xml:space="preserve">Unit 16 - Science in Medicine </v>
      </c>
      <c r="EW9" t="s">
        <v>465</v>
      </c>
      <c r="EX9" s="47">
        <f>IF(COUNTIF('Extended Certificate'!$G$21:$G$29,EW9)&gt;=1,"",ROW())</f>
        <v>9</v>
      </c>
      <c r="EY9" s="49" t="str">
        <f t="shared" si="31"/>
        <v>Unit 12 - Land Navigation by Map and Compass</v>
      </c>
    </row>
    <row r="10" spans="1:155">
      <c r="A10" s="47" t="str">
        <f>IF(OR(A23=1,A26=1),"","Unit 13 - Visual Arts Briefs")</f>
        <v>Unit 13 - Visual Arts Briefs</v>
      </c>
      <c r="B10" s="47">
        <f>IF(COUNTIF('Extended Certificate'!$G$21:$G$29,A10)&gt;=1,"",ROW())</f>
        <v>10</v>
      </c>
      <c r="C10" s="47" t="str">
        <f t="shared" si="6"/>
        <v>Unit 13 - Visual Arts Briefs</v>
      </c>
      <c r="E10" s="33" t="str">
        <f>IF(AND(E23=0,E26=1),"","Unit 12 - Introducing Law and Consumer Rights")</f>
        <v>Unit 12 - Introducing Law and Consumer Rights</v>
      </c>
      <c r="F10" s="47">
        <f>IF(COUNTIF('Extended Certificate'!$G$21:$G$29,E10)&gt;=1,"",ROW())</f>
        <v>10</v>
      </c>
      <c r="G10" s="49" t="str">
        <f t="shared" si="7"/>
        <v>Unit 12 - Introducing Law and Consumer Rights</v>
      </c>
      <c r="I10" s="47"/>
      <c r="J10" s="47"/>
      <c r="K10" s="47"/>
      <c r="L10" s="47"/>
      <c r="M10" s="23" t="str">
        <f>IF(OR(P20=1,P23=1,P26=1,P29=1,P32=1),"","Unit 13 - Exploring Roofing Principles and Techniques")</f>
        <v>Unit 13 - Exploring Roofing Principles and Techniques</v>
      </c>
      <c r="N10" s="47">
        <f>IF(COUNTIF('Extended Certificate'!$G$21:$G$29,M10)&gt;=1,"",ROW())</f>
        <v>10</v>
      </c>
      <c r="O10" s="49" t="str">
        <f t="shared" si="8"/>
        <v>Unit 13 - Exploring Roofing Principles and Techniques</v>
      </c>
      <c r="P10" s="47"/>
      <c r="Q10" s="47"/>
      <c r="R10" s="47"/>
      <c r="S10" s="47"/>
      <c r="T10" s="47"/>
      <c r="U10" s="23" t="s">
        <v>315</v>
      </c>
      <c r="V10" s="47">
        <f>IF(COUNTIF('Extended Certificate'!$G$21:$G$29,U10)&gt;=1,"",ROW())</f>
        <v>10</v>
      </c>
      <c r="W10" s="49" t="str">
        <f t="shared" si="10"/>
        <v>Unit 13 - Engineering Assembly</v>
      </c>
      <c r="X10" s="47"/>
      <c r="Y10" s="47" t="str">
        <f>IF(Y23=1,"","Unit 13 - The Health and Social Care Sector")</f>
        <v>Unit 13 - The Health and Social Care Sector</v>
      </c>
      <c r="Z10" s="47">
        <f>IF(COUNTIF('Extended Certificate'!$G$21:$G$29,Y10)&gt;=1,"",ROW())</f>
        <v>10</v>
      </c>
      <c r="AA10" s="49" t="str">
        <f t="shared" si="11"/>
        <v>Unit 13 - The Health and Social Care Sector</v>
      </c>
      <c r="AB10" s="47"/>
      <c r="AC10" s="47"/>
      <c r="AD10" s="47"/>
      <c r="AE10" s="47"/>
      <c r="AF10" s="47"/>
      <c r="AG10" s="47"/>
      <c r="AH10" s="47"/>
      <c r="AI10" s="47"/>
      <c r="AJ10" s="47"/>
      <c r="AK10" s="23" t="s">
        <v>316</v>
      </c>
      <c r="AL10" s="47">
        <f>IF(COUNTIF('Extended Certificate'!$G$21:$G$29,AK10)&gt;=1,"",ROW())</f>
        <v>10</v>
      </c>
      <c r="AM10" s="49" t="str">
        <f t="shared" si="13"/>
        <v>Unit 12 - Software Development</v>
      </c>
      <c r="AN10" s="47"/>
      <c r="AR10" s="47"/>
      <c r="AS10" s="47"/>
      <c r="AT10" s="47"/>
      <c r="AU10" s="47"/>
      <c r="AV10" s="47"/>
      <c r="AW10" s="14" t="s">
        <v>268</v>
      </c>
      <c r="AX10" s="50">
        <f>IF(COUNTIF('Extended Certificate'!$G$31:$G$37,AW10)&gt;=1,"",ROW())</f>
        <v>10</v>
      </c>
      <c r="AY10" s="49" t="str">
        <f t="shared" si="32"/>
        <v>Unit 17 - Exploring Urban Dance Styles</v>
      </c>
      <c r="AZ10" s="47"/>
      <c r="BA10" s="14" t="s">
        <v>268</v>
      </c>
      <c r="BB10" s="50">
        <f>IF(COUNTIF(Certificate!$G$23:$G$25,BA10)&gt;=1,"",ROW())</f>
        <v>10</v>
      </c>
      <c r="BC10" s="49" t="str">
        <f t="shared" si="1"/>
        <v>Unit 17 - Exploring Urban Dance Styles</v>
      </c>
      <c r="BD10" s="47"/>
      <c r="BE10" s="47"/>
      <c r="BF10" s="47"/>
      <c r="BG10" s="47"/>
      <c r="BH10" s="47"/>
      <c r="BM10" s="23" t="s">
        <v>321</v>
      </c>
      <c r="BN10" s="50">
        <f>IF(COUNTIF('Extended Certificate'!$G$39,BM10)&gt;=1,"",ROW())</f>
        <v>10</v>
      </c>
      <c r="BO10" s="47" t="str">
        <f t="shared" si="2"/>
        <v>Unit 29 - Wardrobe for Stage Performance</v>
      </c>
      <c r="BP10" s="47"/>
      <c r="BQ10" s="14"/>
      <c r="BR10" s="50"/>
      <c r="BS10" s="49"/>
      <c r="BT10" s="47"/>
      <c r="BU10" s="47"/>
      <c r="BV10" s="47"/>
      <c r="BW10" s="47"/>
      <c r="BX10" s="47"/>
      <c r="CB10" s="47"/>
      <c r="CC10" s="23" t="s">
        <v>321</v>
      </c>
      <c r="CD10" s="50">
        <f>IF(COUNTIF('Extended Certificate'!$G$39,CC10)&gt;=1,"",ROW())</f>
        <v>10</v>
      </c>
      <c r="CE10" s="47" t="str">
        <f t="shared" si="17"/>
        <v>Unit 29 - Wardrobe for Stage Performance</v>
      </c>
      <c r="CF10" s="47"/>
      <c r="CG10" s="47"/>
      <c r="CH10" s="47"/>
      <c r="CI10" s="47"/>
      <c r="CJ10" s="47"/>
      <c r="CK10" s="14" t="s">
        <v>300</v>
      </c>
      <c r="CL10" s="50">
        <f>IF(COUNTIF(Certificate!$G$23:$G$25,CK10)&gt;=1,"",ROW())</f>
        <v>10</v>
      </c>
      <c r="CM10" s="47" t="str">
        <f t="shared" si="4"/>
        <v>Unit 23 - Realising Mask Design for Performance</v>
      </c>
      <c r="CN10" s="47"/>
      <c r="CO10" s="23" t="s">
        <v>317</v>
      </c>
      <c r="CP10" s="50">
        <f>IF(COUNTIF('Extended Certificate'!$G$21:$G$29,CO10)&gt;=1,"",ROW())</f>
        <v>10</v>
      </c>
      <c r="CQ10" s="49" t="str">
        <f t="shared" si="5"/>
        <v>Unit 28 - Make-up for Performance</v>
      </c>
      <c r="CR10" s="47"/>
      <c r="CS10" s="14" t="s">
        <v>276</v>
      </c>
      <c r="CT10" s="50">
        <f>IF(COUNTIF('Extended Certificate'!$G$31:$G$37,CS10)&gt;=1,"",ROW())</f>
        <v>10</v>
      </c>
      <c r="CU10" s="47" t="str">
        <f t="shared" si="18"/>
        <v>Unit 18 - Jazz Dance Techniques</v>
      </c>
      <c r="CV10" s="47"/>
      <c r="CW10" s="23" t="s">
        <v>318</v>
      </c>
      <c r="CX10" s="47">
        <f>IF(COUNTIF('Extended Certificate'!$G$21:$G$29,CW10)&gt;=1,"",ROW())</f>
        <v>10</v>
      </c>
      <c r="CY10" s="49" t="str">
        <f t="shared" si="19"/>
        <v>Unit 12 - The Sport and Active Leisure Industry</v>
      </c>
      <c r="CZ10" s="47"/>
      <c r="DA10" s="47" t="s">
        <v>436</v>
      </c>
      <c r="DB10" s="47">
        <f>IF(COUNTIF('Extended Certificate'!$G$21:$G$29,DA10)&gt;=1,"",ROW())</f>
        <v>10</v>
      </c>
      <c r="DC10" s="49" t="str">
        <f t="shared" si="20"/>
        <v>Unit 18 - The Cruise Industry</v>
      </c>
      <c r="DD10" s="47"/>
      <c r="DE10" s="47" t="s">
        <v>423</v>
      </c>
      <c r="DF10" s="47">
        <f>IF(COUNTIF('Extended Certificate'!$G$31:$G$37,DE10)&gt;=1,"",ROW())</f>
        <v>10</v>
      </c>
      <c r="DG10" s="49" t="str">
        <f t="shared" si="21"/>
        <v xml:space="preserve">Unit 17 - Digital Audio Mixing </v>
      </c>
      <c r="DH10" s="47"/>
      <c r="DI10" s="47"/>
      <c r="DJ10" s="47"/>
      <c r="DK10" s="47"/>
      <c r="DL10" s="47"/>
      <c r="DM10" s="47"/>
      <c r="DN10" s="47"/>
      <c r="DO10" s="47"/>
      <c r="DP10" s="47"/>
      <c r="DQ10" s="92" t="s">
        <v>445</v>
      </c>
      <c r="DR10" s="47">
        <f>IF(COUNTIF('Extended Certificate'!$G$21:$G$29,DQ10)&gt;=1,"",ROW())</f>
        <v>10</v>
      </c>
      <c r="DS10" s="49" t="str">
        <f t="shared" si="24"/>
        <v>Unit 20 - Interactive Media Production Briefs</v>
      </c>
      <c r="DT10" s="47"/>
      <c r="DU10" s="47" t="s">
        <v>443</v>
      </c>
      <c r="DV10" s="47">
        <f>IF(COUNTIF('Extended Certificate'!$G$21:$G$29,DU10)&gt;=1,"",ROW())</f>
        <v>10</v>
      </c>
      <c r="DW10" s="49" t="str">
        <f t="shared" si="25"/>
        <v>Unit 17 - Art, Craft and Design in the Creative Industries</v>
      </c>
      <c r="DX10" s="47"/>
      <c r="DY10" s="47" t="s">
        <v>443</v>
      </c>
      <c r="DZ10" s="47">
        <f>IF(COUNTIF('Extended Certificate'!$G$21:$G$29,DY10)&gt;=1,"",ROW())</f>
        <v>10</v>
      </c>
      <c r="EA10" s="49" t="str">
        <f t="shared" si="26"/>
        <v>Unit 17 - Art, Craft and Design in the Creative Industries</v>
      </c>
      <c r="EB10" s="47"/>
      <c r="EC10" s="47" t="s">
        <v>414</v>
      </c>
      <c r="ED10" s="47">
        <f>IF(COUNTIF('Extended Certificate'!$G$21:$G$29,EC10)&gt;=1,"",ROW())</f>
        <v>10</v>
      </c>
      <c r="EE10" s="49" t="str">
        <f t="shared" si="27"/>
        <v>Unit 19 - Digital Art and Design Briefs</v>
      </c>
      <c r="EF10" s="47"/>
      <c r="EG10" s="47"/>
      <c r="EH10" s="47"/>
      <c r="EI10" s="47"/>
      <c r="EJ10" s="47"/>
      <c r="EK10" s="47"/>
      <c r="EL10" s="47"/>
      <c r="EM10" s="47"/>
      <c r="EN10" s="47"/>
      <c r="EO10" s="47" t="s">
        <v>455</v>
      </c>
      <c r="EP10" s="47">
        <f>IF(COUNTIF('Extended Certificate'!$G$31:$G$37,EO10)&gt;=1,"",ROW())</f>
        <v>10</v>
      </c>
      <c r="EQ10" s="49" t="str">
        <f t="shared" si="29"/>
        <v>Unit 21 - Music Arrangement</v>
      </c>
      <c r="ES10" s="14" t="s">
        <v>404</v>
      </c>
      <c r="ET10" s="47">
        <f>IF(COUNTIF('Extended Certificate'!$G$21:$G$29,ES10)&gt;=1,"",ROW())</f>
        <v>10</v>
      </c>
      <c r="EU10" s="49" t="str">
        <f t="shared" si="30"/>
        <v xml:space="preserve">Unit 17 - Understanding Human Behaviour </v>
      </c>
      <c r="EW10" t="s">
        <v>466</v>
      </c>
      <c r="EX10" s="47">
        <f>IF(COUNTIF('Extended Certificate'!$G$21:$G$29,EW10)&gt;=1,"",ROW())</f>
        <v>10</v>
      </c>
      <c r="EY10" s="49" t="str">
        <f t="shared" si="31"/>
        <v>Unit 13 - Volunteering for the Public Services</v>
      </c>
    </row>
    <row r="11" spans="1:155" ht="15" customHeight="1">
      <c r="A11" s="47" t="s">
        <v>297</v>
      </c>
      <c r="B11" s="47">
        <f>IF(COUNTIF('Extended Certificate'!$G$21:$G$29,A11)&gt;=1,"",ROW())</f>
        <v>11</v>
      </c>
      <c r="C11" s="47" t="str">
        <f t="shared" si="6"/>
        <v>Unit 14 - Photography Briefs</v>
      </c>
      <c r="E11" s="33" t="str">
        <f>IF(AND(E23=0,E26=1),"","Unit 13 - Financial Planning and Forecasting")</f>
        <v>Unit 13 - Financial Planning and Forecasting</v>
      </c>
      <c r="F11" s="47">
        <f>IF(COUNTIF('Extended Certificate'!$G$21:$G$29,E11)&gt;=1,"",ROW())</f>
        <v>11</v>
      </c>
      <c r="G11" s="49" t="str">
        <f t="shared" si="7"/>
        <v>Unit 13 - Financial Planning and Forecasting</v>
      </c>
      <c r="I11" s="47"/>
      <c r="J11" s="47"/>
      <c r="K11" s="47"/>
      <c r="L11" s="47"/>
      <c r="M11" s="23" t="str">
        <f>IF(OR(P20=1,P23=1,P26=1,P29=1,P32=1),"","Unit 14 - Exploring Wall and Floor Tiling Principles and Techniques")</f>
        <v>Unit 14 - Exploring Wall and Floor Tiling Principles and Techniques</v>
      </c>
      <c r="N11" s="47">
        <f>IF(COUNTIF('Extended Certificate'!$G$21:$G$29,M11)&gt;=1,"",ROW())</f>
        <v>11</v>
      </c>
      <c r="O11" s="49" t="str">
        <f t="shared" si="8"/>
        <v>Unit 14 - Exploring Wall and Floor Tiling Principles and Techniques</v>
      </c>
      <c r="P11" s="47"/>
      <c r="Q11" s="47"/>
      <c r="R11" s="47"/>
      <c r="S11" s="47"/>
      <c r="T11" s="47"/>
      <c r="U11" s="23" t="s">
        <v>320</v>
      </c>
      <c r="V11" s="47">
        <f>IF(COUNTIF('Extended Certificate'!$G$21:$G$29,U11)&gt;=1,"",ROW())</f>
        <v>11</v>
      </c>
      <c r="W11" s="49" t="str">
        <f t="shared" si="10"/>
        <v>Unit 14 - Vehicle Engines and Other Systems</v>
      </c>
      <c r="X11" s="47"/>
      <c r="Y11" s="47" t="str">
        <f>IF(Y20=1,"","Unit 14 - The Early Years Sector")</f>
        <v>Unit 14 - The Early Years Sector</v>
      </c>
      <c r="Z11" s="47">
        <f>IF(COUNTIF('Extended Certificate'!$G$21:$G$29,Y11)&gt;=1,"",ROW())</f>
        <v>11</v>
      </c>
      <c r="AA11" s="49" t="str">
        <f t="shared" si="11"/>
        <v>Unit 14 - The Early Years Sector</v>
      </c>
      <c r="AB11" s="47"/>
      <c r="AC11" s="47"/>
      <c r="AD11" s="47"/>
      <c r="AE11" s="47"/>
      <c r="AF11" s="47"/>
      <c r="AG11" s="47"/>
      <c r="AH11" s="47"/>
      <c r="AI11" s="47"/>
      <c r="AJ11" s="47"/>
      <c r="AK11" s="23" t="s">
        <v>145</v>
      </c>
      <c r="AL11" s="47">
        <f>IF(COUNTIF('Extended Certificate'!$G$21:$G$29,AK11)&gt;=1,"",ROW())</f>
        <v>11</v>
      </c>
      <c r="AM11" s="49" t="str">
        <f t="shared" si="13"/>
        <v>Unit 13 - Website Development</v>
      </c>
      <c r="AN11" s="47"/>
      <c r="AR11" s="47"/>
      <c r="AS11" s="47"/>
      <c r="AT11" s="47"/>
      <c r="AU11" s="47"/>
      <c r="AV11" s="47"/>
      <c r="AW11" s="14" t="s">
        <v>276</v>
      </c>
      <c r="AX11" s="50">
        <f>IF(COUNTIF('Extended Certificate'!$G$31:$G$37,AW11)&gt;=1,"",ROW())</f>
        <v>11</v>
      </c>
      <c r="AY11" s="49" t="str">
        <f t="shared" si="32"/>
        <v>Unit 18 - Jazz Dance Techniques</v>
      </c>
      <c r="AZ11" s="47"/>
      <c r="BA11" s="14" t="s">
        <v>276</v>
      </c>
      <c r="BB11" s="50">
        <f>IF(COUNTIF(Certificate!$G$23:$G$25,BA11)&gt;=1,"",ROW())</f>
        <v>11</v>
      </c>
      <c r="BC11" s="49" t="str">
        <f t="shared" si="1"/>
        <v>Unit 18 - Jazz Dance Techniques</v>
      </c>
      <c r="BD11" s="47"/>
      <c r="BE11" s="47"/>
      <c r="BF11" s="47"/>
      <c r="BG11" s="47"/>
      <c r="BH11" s="47"/>
      <c r="BM11" s="47"/>
      <c r="BN11" s="47"/>
      <c r="BO11" s="47"/>
      <c r="BP11" s="47"/>
      <c r="BQ11" s="14"/>
      <c r="BR11" s="50"/>
      <c r="BS11" s="49"/>
      <c r="BT11" s="47"/>
      <c r="BU11" s="47"/>
      <c r="BV11" s="47"/>
      <c r="BW11" s="47"/>
      <c r="BX11" s="47"/>
      <c r="CB11" s="47"/>
      <c r="CC11" s="47"/>
      <c r="CD11" s="47"/>
      <c r="CE11" s="47"/>
      <c r="CF11" s="47"/>
      <c r="CG11" s="47"/>
      <c r="CH11" s="47"/>
      <c r="CI11" s="47"/>
      <c r="CJ11" s="47"/>
      <c r="CK11" s="14" t="s">
        <v>307</v>
      </c>
      <c r="CL11" s="50">
        <f>IF(COUNTIF(Certificate!$G$23:$G$25,CK11)&gt;=1,"",ROW())</f>
        <v>11</v>
      </c>
      <c r="CM11" s="47" t="str">
        <f t="shared" si="4"/>
        <v>Unit 24 - Lighting for Performance</v>
      </c>
      <c r="CN11" s="47"/>
      <c r="CO11" s="23" t="s">
        <v>321</v>
      </c>
      <c r="CP11" s="50">
        <f>IF(COUNTIF('Extended Certificate'!$G$21:$G$29,CO11)&gt;=1,"",ROW())</f>
        <v>11</v>
      </c>
      <c r="CQ11" s="49" t="str">
        <f t="shared" si="5"/>
        <v>Unit 29 - Wardrobe for Stage Performance</v>
      </c>
      <c r="CR11" s="47"/>
      <c r="CS11" s="47"/>
      <c r="CT11" s="47"/>
      <c r="CU11" s="47"/>
      <c r="CV11" s="47"/>
      <c r="CW11" s="47" t="s">
        <v>442</v>
      </c>
      <c r="CX11" s="47">
        <f>IF(COUNTIF('Extended Certificate'!$G$21:$G$29,CW11)&gt;=1,"",ROW())</f>
        <v>11</v>
      </c>
      <c r="CY11" s="49" t="str">
        <f t="shared" si="19"/>
        <v>Unit 13 - Profiling Sports Performance</v>
      </c>
      <c r="CZ11" s="47"/>
      <c r="DA11" s="94" t="s">
        <v>437</v>
      </c>
      <c r="DB11" s="47">
        <f>IF(COUNTIF('Extended Certificate'!$G$21:$G$29,DA11)&gt;=1,"",ROW())</f>
        <v>11</v>
      </c>
      <c r="DC11" s="49" t="str">
        <f t="shared" si="20"/>
        <v>Unit 19 - Hospitality Operations in the Travel and Tourism _x000D_Sector</v>
      </c>
      <c r="DD11" s="47"/>
      <c r="DE11" s="47" t="s">
        <v>424</v>
      </c>
      <c r="DF11" s="47">
        <f>IF(COUNTIF('Extended Certificate'!$G$31:$G$37,DE11)&gt;=1,"",ROW())</f>
        <v>11</v>
      </c>
      <c r="DG11" s="49" t="str">
        <f>IF(ROW(DE11)-ROW(DE$2)+1&gt;COUNT(DF$2:DF$11),"",INDEX(DE:DE,SMALL(DF$2:DF$11,1+ROW(DE11)-ROW(DE$2))))</f>
        <v xml:space="preserve">Unit 18 - Lighting for Moving Image  </v>
      </c>
      <c r="DH11" s="47"/>
      <c r="DI11" s="47"/>
      <c r="DJ11" s="47"/>
      <c r="DK11" s="47"/>
      <c r="DL11" s="47"/>
      <c r="DM11" s="47"/>
      <c r="DN11" s="47"/>
      <c r="DO11" s="47"/>
      <c r="DP11" s="47"/>
      <c r="DQ11" s="47" t="str">
        <f>IF(DQ15=1,"","Unit 22 - Designing Products")</f>
        <v>Unit 22 - Designing Products</v>
      </c>
      <c r="DR11" s="47">
        <f>IF(COUNTIF('Extended Certificate'!$G$21:$G$29,DQ11)&gt;=1,"",ROW())</f>
        <v>11</v>
      </c>
      <c r="DS11" s="49" t="str">
        <f t="shared" si="24"/>
        <v>Unit 22 - Designing Products</v>
      </c>
      <c r="DT11" s="47"/>
      <c r="DU11" s="47" t="s">
        <v>414</v>
      </c>
      <c r="DV11" s="47">
        <f>IF(COUNTIF('Extended Certificate'!$G$21:$G$29,DU11)&gt;=1,"",ROW())</f>
        <v>11</v>
      </c>
      <c r="DW11" s="49" t="str">
        <f t="shared" si="25"/>
        <v>Unit 19 - Digital Art and Design Briefs</v>
      </c>
      <c r="DX11" s="47"/>
      <c r="DY11" s="47" t="s">
        <v>414</v>
      </c>
      <c r="DZ11" s="47">
        <f>IF(COUNTIF('Extended Certificate'!$G$21:$G$29,DY11)&gt;=1,"",ROW())</f>
        <v>11</v>
      </c>
      <c r="EA11" s="49" t="str">
        <f t="shared" si="26"/>
        <v>Unit 19 - Digital Art and Design Briefs</v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 t="s">
        <v>456</v>
      </c>
      <c r="EP11" s="47">
        <f>IF(COUNTIF('Extended Certificate'!$G$31:$G$37,EO11)&gt;=1,"",ROW())</f>
        <v>11</v>
      </c>
      <c r="EQ11" s="49" t="str">
        <f t="shared" si="29"/>
        <v>Unit 22 - Exploring Music Improvisation</v>
      </c>
      <c r="ES11" s="14" t="s">
        <v>405</v>
      </c>
      <c r="ET11" s="47">
        <f>IF(COUNTIF('Extended Certificate'!$G$21:$G$29,ES11)&gt;=1,"",ROW())</f>
        <v>11</v>
      </c>
      <c r="EU11" s="49" t="str">
        <f t="shared" si="30"/>
        <v>Unit 18 - Designing and Making Useful Devices in Science</v>
      </c>
      <c r="EW11" t="str">
        <f>IF(EW20=1,"","Unit 14 - Multi-day Expedition Experience")</f>
        <v>Unit 14 - Multi-day Expedition Experience</v>
      </c>
      <c r="EX11" s="47">
        <f>IF(COUNTIF('Extended Certificate'!$G$21:$G$29,EW11)&gt;=1,"",ROW())</f>
        <v>11</v>
      </c>
      <c r="EY11" s="49" t="str">
        <f t="shared" si="31"/>
        <v>Unit 14 - Multi-day Expedition Experience</v>
      </c>
    </row>
    <row r="12" spans="1:155">
      <c r="A12" s="47" t="s">
        <v>295</v>
      </c>
      <c r="B12" s="47">
        <f>IF(COUNTIF('Extended Certificate'!$G$21:$G$29,A12)&gt;=1,"",ROW())</f>
        <v>12</v>
      </c>
      <c r="C12" s="47" t="str">
        <f t="shared" si="6"/>
        <v>Unit 15 - Designing for the Future</v>
      </c>
      <c r="E12" s="33" t="str">
        <f>IF(AND(E23=0,E26=1),"","Unit 14 - Business Online")</f>
        <v>Unit 14 - Business Online</v>
      </c>
      <c r="F12" s="47">
        <f>IF(COUNTIF('Extended Certificate'!$G$21:$G$29,E12)&gt;=1,"",ROW())</f>
        <v>12</v>
      </c>
      <c r="G12" s="49" t="str">
        <f t="shared" si="7"/>
        <v>Unit 14 - Business Online</v>
      </c>
      <c r="I12" s="47"/>
      <c r="J12" s="47"/>
      <c r="K12" s="47"/>
      <c r="L12" s="47"/>
      <c r="M12" s="23" t="str">
        <f>IF(OR(P20=1,P23=1,P26=1,P29=1,P32=1),"","Unit 15 - Exploring Plastering and Dry Lining Principles and Techniques")</f>
        <v>Unit 15 - Exploring Plastering and Dry Lining Principles and Techniques</v>
      </c>
      <c r="N12" s="47">
        <f>IF(COUNTIF('Extended Certificate'!$G$21:$G$29,M12)&gt;=1,"",ROW())</f>
        <v>12</v>
      </c>
      <c r="O12" s="49" t="str">
        <f t="shared" si="8"/>
        <v>Unit 15 - Exploring Plastering and Dry Lining Principles and Techniques</v>
      </c>
      <c r="P12" s="47"/>
      <c r="Q12" s="47"/>
      <c r="R12" s="47"/>
      <c r="S12" s="47"/>
      <c r="T12" s="47"/>
      <c r="U12" s="47" t="s">
        <v>427</v>
      </c>
      <c r="V12" s="47">
        <f>IF(COUNTIF('Extended Certificate'!$G$21:$G$29,U12)&gt;=1,"",ROW())</f>
        <v>12</v>
      </c>
      <c r="W12" s="49" t="str">
        <f>IF(ROW(U12)-ROW(U$2)+1&gt;COUNT(V$2:V$17),"",INDEX(U:U,SMALL(V$2:V$17,1+ROW(U12)-ROW(U$2))))</f>
        <v>Unit 15 - Operating an Efficient Workplace</v>
      </c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23" t="s">
        <v>323</v>
      </c>
      <c r="AL12" s="47">
        <f>IF(COUNTIF('Extended Certificate'!$G$21:$G$29,AK12)&gt;=1,"",ROW())</f>
        <v>12</v>
      </c>
      <c r="AM12" s="49" t="str">
        <f t="shared" si="13"/>
        <v>Unit 14 - Installing and Maintaining Computer Hardware</v>
      </c>
      <c r="AN12" s="47"/>
      <c r="AR12" s="47"/>
      <c r="AS12" s="47"/>
      <c r="AT12" s="47"/>
      <c r="AU12" s="47"/>
      <c r="AV12" s="47"/>
      <c r="AW12" s="14" t="s">
        <v>269</v>
      </c>
      <c r="AX12" s="50">
        <f>IF(COUNTIF('Extended Certificate'!$G$31:$G$37,AW12)&gt;=1,"",ROW())</f>
        <v>12</v>
      </c>
      <c r="AY12" s="49" t="str">
        <f t="shared" si="32"/>
        <v>Unit 19 - Design Planning for Performance</v>
      </c>
      <c r="AZ12" s="47"/>
      <c r="BA12" s="14" t="s">
        <v>269</v>
      </c>
      <c r="BB12" s="50">
        <f>IF(COUNTIF(Certificate!$G$23:$G$25,BA12)&gt;=1,"",ROW())</f>
        <v>12</v>
      </c>
      <c r="BC12" s="49" t="str">
        <f t="shared" si="1"/>
        <v>Unit 19 - Design Planning for Performance</v>
      </c>
      <c r="BD12" s="47"/>
      <c r="BE12" s="47"/>
      <c r="BF12" s="47"/>
      <c r="BG12" s="47"/>
      <c r="BH12" s="47"/>
      <c r="BM12" s="47"/>
      <c r="BN12" s="47"/>
      <c r="BO12" s="47"/>
      <c r="BP12" s="47"/>
      <c r="BQ12" s="14"/>
      <c r="BR12" s="50"/>
      <c r="BS12" s="49"/>
      <c r="BT12" s="47"/>
      <c r="BU12" s="47"/>
      <c r="BV12" s="47"/>
      <c r="BW12" s="47"/>
      <c r="BX12" s="47"/>
      <c r="CB12" s="47"/>
      <c r="CC12" s="47"/>
      <c r="CD12" s="47"/>
      <c r="CE12" s="47"/>
      <c r="CF12" s="47"/>
      <c r="CG12" s="47"/>
      <c r="CH12" s="47"/>
      <c r="CI12" s="47"/>
      <c r="CJ12" s="47"/>
      <c r="CK12" s="14" t="s">
        <v>312</v>
      </c>
      <c r="CL12" s="50">
        <f>IF(COUNTIF(Certificate!$G$23:$G$25,CK12)&gt;=1,"",ROW())</f>
        <v>12</v>
      </c>
      <c r="CM12" s="47" t="str">
        <f t="shared" si="4"/>
        <v>Unit 25 - Sound for Performance</v>
      </c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 t="s">
        <v>438</v>
      </c>
      <c r="DB12" s="47">
        <f>IF(COUNTIF('Extended Certificate'!$G$21:$G$29,DA12)&gt;=1,"",ROW())</f>
        <v>12</v>
      </c>
      <c r="DC12" s="49" t="str">
        <f t="shared" si="20"/>
        <v>Unit 20 - UK Visitor Attractions</v>
      </c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92" t="s">
        <v>445</v>
      </c>
      <c r="DV12" s="47">
        <f>IF(COUNTIF('Extended Certificate'!$G$21:$G$29,DU12)&gt;=1,"",ROW())</f>
        <v>12</v>
      </c>
      <c r="DW12" s="49" t="str">
        <f t="shared" si="25"/>
        <v>Unit 20 - Interactive Media Production Briefs</v>
      </c>
      <c r="DX12" s="47"/>
      <c r="DY12" s="92" t="s">
        <v>445</v>
      </c>
      <c r="DZ12" s="47">
        <f>IF(COUNTIF('Extended Certificate'!$G$21:$G$29,DY12)&gt;=1,"",ROW())</f>
        <v>12</v>
      </c>
      <c r="EA12" s="49" t="str">
        <f t="shared" si="26"/>
        <v>Unit 20 - Interactive Media Production Briefs</v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 t="s">
        <v>457</v>
      </c>
      <c r="EP12" s="47">
        <f>IF(COUNTIF('Extended Certificate'!$G$31:$G$37,EO12)&gt;=1,"",ROW())</f>
        <v>12</v>
      </c>
      <c r="EQ12" s="49" t="str">
        <f>IF(ROW(EO12)-ROW(EO$2)+1&gt;COUNT(EP$2:EP$12),"",INDEX(EO:EO,SMALL(EP$2:EP$12,1+ROW(EO12)-ROW(EO$2))))</f>
        <v>Unit 23 - Exploring Djing</v>
      </c>
      <c r="ES12" s="14" t="s">
        <v>406</v>
      </c>
      <c r="ET12" s="47">
        <f>IF(COUNTIF('Extended Certificate'!$G$21:$G$29,ES12)&gt;=1,"",ROW())</f>
        <v>12</v>
      </c>
      <c r="EU12" s="49" t="str">
        <f t="shared" si="30"/>
        <v xml:space="preserve">Unit 19 - Chemical Analysis and Detection </v>
      </c>
      <c r="EW12" t="s">
        <v>468</v>
      </c>
      <c r="EX12" s="47">
        <f>IF(COUNTIF('Extended Certificate'!$G$21:$G$29,EW12)&gt;=1,"",ROW())</f>
        <v>12</v>
      </c>
      <c r="EY12" s="49" t="str">
        <f t="shared" si="31"/>
        <v>Unit 15 - Health and Safety in the Public Services</v>
      </c>
    </row>
    <row r="13" spans="1:155">
      <c r="A13" s="92" t="s">
        <v>412</v>
      </c>
      <c r="B13" s="47">
        <f>IF(COUNTIF('Extended Certificate'!$G$21:$G$29,A13)&gt;=1,"",ROW())</f>
        <v>13</v>
      </c>
      <c r="C13" s="47" t="str">
        <f t="shared" si="6"/>
        <v>Unit 16 - Applying Contextual References in Art and Design</v>
      </c>
      <c r="E13" s="33" t="str">
        <f>IF(AND(E23=0,E26=1),"","Unit 15 - Public Sector Business")</f>
        <v>Unit 15 - Public Sector Business</v>
      </c>
      <c r="F13" s="47">
        <f>IF(COUNTIF('Extended Certificate'!$G$21:$G$29,E13)&gt;=1,"",ROW())</f>
        <v>13</v>
      </c>
      <c r="G13" s="49" t="str">
        <f t="shared" si="7"/>
        <v>Unit 15 - Public Sector Business</v>
      </c>
      <c r="I13" s="47"/>
      <c r="J13" s="47"/>
      <c r="K13" s="47"/>
      <c r="L13" s="47"/>
      <c r="M13" s="47" t="str">
        <f>IF(OR(P23=1,P26=1,P29=1,P32=1),"","Unit 16 - Carpentry and Joinery Operations")</f>
        <v>Unit 16 - Carpentry and Joinery Operations</v>
      </c>
      <c r="N13" s="47">
        <f>IF(COUNTIF('Extended Certificate'!$G$21:$G$29,M13)&gt;=1,"",ROW())</f>
        <v>13</v>
      </c>
      <c r="O13" s="49" t="str">
        <f t="shared" si="8"/>
        <v>Unit 16 - Carpentry and Joinery Operations</v>
      </c>
      <c r="P13" s="47"/>
      <c r="Q13" s="47"/>
      <c r="R13" s="47"/>
      <c r="S13" s="47"/>
      <c r="T13" s="47"/>
      <c r="U13" s="47" t="s">
        <v>425</v>
      </c>
      <c r="V13" s="47">
        <f>IF(COUNTIF('Extended Certificate'!$G$21:$G$29,U13)&gt;=1,"",ROW())</f>
        <v>13</v>
      </c>
      <c r="W13" s="49" t="str">
        <f t="shared" si="10"/>
        <v>Unit 16 - Vehicle Electrical Systems</v>
      </c>
      <c r="X13" s="47"/>
      <c r="Z13" s="47"/>
      <c r="AA13" s="47"/>
      <c r="AB13" s="47"/>
      <c r="AC13" s="47" t="s">
        <v>161</v>
      </c>
      <c r="AD13" s="47"/>
      <c r="AE13" s="47" t="s">
        <v>665</v>
      </c>
      <c r="AF13" s="47" t="s">
        <v>673</v>
      </c>
      <c r="AG13" s="47"/>
      <c r="AH13" s="47"/>
      <c r="AI13" s="47"/>
      <c r="AJ13" s="47"/>
      <c r="AK13" s="23" t="s">
        <v>324</v>
      </c>
      <c r="AL13" s="47">
        <f>IF(COUNTIF('Extended Certificate'!$G$21:$G$29,AK13)&gt;=1,"",ROW())</f>
        <v>13</v>
      </c>
      <c r="AM13" s="49" t="str">
        <f t="shared" si="13"/>
        <v>Unit 15 - Installing and Maintaining Computer Software</v>
      </c>
      <c r="AN13" s="47"/>
      <c r="AR13" s="47"/>
      <c r="AS13" s="47"/>
      <c r="AT13" s="47"/>
      <c r="AU13" s="47"/>
      <c r="AV13" s="47"/>
      <c r="AW13" s="14" t="s">
        <v>277</v>
      </c>
      <c r="AX13" s="50">
        <f>IF(COUNTIF('Extended Certificate'!$G$31:$G$37,AW13)&gt;=1,"",ROW())</f>
        <v>13</v>
      </c>
      <c r="AY13" s="49" t="str">
        <f t="shared" si="32"/>
        <v>Unit 20 - Realising Costume Design for Performance</v>
      </c>
      <c r="AZ13" s="47"/>
      <c r="BA13" s="14" t="s">
        <v>277</v>
      </c>
      <c r="BB13" s="50">
        <f>IF(COUNTIF(Certificate!$G$23:$G$25,BA13)&gt;=1,"",ROW())</f>
        <v>13</v>
      </c>
      <c r="BC13" s="49" t="str">
        <f t="shared" si="1"/>
        <v>Unit 20 - Realising Costume Design for Performance</v>
      </c>
      <c r="BD13" s="47"/>
      <c r="BE13" s="47"/>
      <c r="BF13" s="47"/>
      <c r="BG13" s="47"/>
      <c r="BH13" s="47"/>
      <c r="BM13" s="47"/>
      <c r="BN13" s="47"/>
      <c r="BO13" s="47"/>
      <c r="BP13" s="47"/>
      <c r="BQ13" s="14"/>
      <c r="BR13" s="50"/>
      <c r="BS13" s="49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23" t="s">
        <v>317</v>
      </c>
      <c r="CL13" s="50">
        <f>IF(COUNTIF(Certificate!$G$23:$G$25,CK13)&gt;=1,"",ROW())</f>
        <v>13</v>
      </c>
      <c r="CM13" s="47" t="str">
        <f t="shared" si="4"/>
        <v>Unit 28 - Make-up for Performance</v>
      </c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92" t="s">
        <v>160</v>
      </c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14"/>
      <c r="EP13" s="47"/>
      <c r="EQ13" s="47"/>
      <c r="ES13" s="14" t="s">
        <v>407</v>
      </c>
      <c r="ET13" s="47">
        <f>IF(COUNTIF('Extended Certificate'!$G$21:$G$29,ES13)&gt;=1,"",ROW())</f>
        <v>13</v>
      </c>
      <c r="EU13" s="49" t="str">
        <f t="shared" si="30"/>
        <v xml:space="preserve">Unit 20 - Exploring our Universe </v>
      </c>
      <c r="EW13" t="s">
        <v>469</v>
      </c>
      <c r="EX13" s="47">
        <f>IF(COUNTIF('Extended Certificate'!$G$21:$G$29,EW13)&gt;=1,"",ROW())</f>
        <v>13</v>
      </c>
      <c r="EY13" s="49" t="str">
        <f t="shared" si="31"/>
        <v>Unit 16 - Employability Skills in the Public Services</v>
      </c>
    </row>
    <row r="14" spans="1:155">
      <c r="A14" s="92" t="s">
        <v>443</v>
      </c>
      <c r="B14" s="47">
        <f>IF(COUNTIF('Extended Certificate'!$G$21:$G$29,A14)&gt;=1,"",ROW())</f>
        <v>14</v>
      </c>
      <c r="C14" s="47" t="str">
        <f t="shared" si="6"/>
        <v>Unit 17 - Art, Craft and Design in the Creative Industries</v>
      </c>
      <c r="E14" s="33" t="s">
        <v>386</v>
      </c>
      <c r="F14" s="47">
        <f>IF(COUNTIF('Extended Certificate'!$G$21:$G$29,E14)&gt;=1,"",ROW())</f>
        <v>14</v>
      </c>
      <c r="G14" s="49" t="str">
        <f t="shared" si="7"/>
        <v>Unit 16 - Enhancing the Customer Experience</v>
      </c>
      <c r="I14" s="47"/>
      <c r="J14" s="47"/>
      <c r="K14" s="47"/>
      <c r="L14" s="47"/>
      <c r="M14" s="47" t="str">
        <f>IF(OR(P20=1,P26=1,P29=1,P32=1),"","Unit 17 - Brickwork and Blockwork Operations")</f>
        <v>Unit 17 - Brickwork and Blockwork Operations</v>
      </c>
      <c r="N14" s="47">
        <f>IF(COUNTIF('Extended Certificate'!$G$21:$G$29,M14)&gt;=1,"",ROW())</f>
        <v>14</v>
      </c>
      <c r="O14" s="49" t="str">
        <f t="shared" si="8"/>
        <v>Unit 17 - Brickwork and Blockwork Operations</v>
      </c>
      <c r="P14" s="47"/>
      <c r="Q14" s="47"/>
      <c r="R14" s="47"/>
      <c r="S14" s="47"/>
      <c r="T14" s="47"/>
      <c r="U14" s="47" t="s">
        <v>428</v>
      </c>
      <c r="V14" s="47">
        <f>IF(COUNTIF('Extended Certificate'!$G$21:$G$29,U14)&gt;=1,"",ROW())</f>
        <v>14</v>
      </c>
      <c r="W14" s="49" t="str">
        <f t="shared" si="10"/>
        <v>Unit 17 - Welding</v>
      </c>
      <c r="X14" s="47"/>
      <c r="Z14" s="47"/>
      <c r="AA14" s="47"/>
      <c r="AB14" s="47"/>
      <c r="AC14">
        <f>COUNTIF('Extended Certificate'!$G$21:$G$29, "Unit 4 - Costing and Controlling Finances in the Hospitality Industry")</f>
        <v>0</v>
      </c>
      <c r="AD14" s="47"/>
      <c r="AE14">
        <f>COUNTIF('Extended Certificate'!$G$31:$G$33, "Unit 16 - Managing Finance in Hospitality")</f>
        <v>0</v>
      </c>
      <c r="AF14" s="47">
        <f>IF(AND(AC14=0,AE14=1),1,0)</f>
        <v>0</v>
      </c>
      <c r="AG14" s="47"/>
      <c r="AH14" s="47"/>
      <c r="AI14" s="47"/>
      <c r="AJ14" s="47"/>
      <c r="AK14" s="23" t="s">
        <v>325</v>
      </c>
      <c r="AL14" s="47">
        <f>IF(COUNTIF('Extended Certificate'!$G$21:$G$29,AK14)&gt;=1,"",ROW())</f>
        <v>14</v>
      </c>
      <c r="AM14" s="49" t="str">
        <f t="shared" si="13"/>
        <v>Unit 16 - Automated Computer Systems</v>
      </c>
      <c r="AN14" s="47"/>
      <c r="AR14" s="47"/>
      <c r="AS14" s="47"/>
      <c r="AT14" s="47"/>
      <c r="AU14" s="47"/>
      <c r="AV14" s="47"/>
      <c r="AW14" s="14" t="s">
        <v>285</v>
      </c>
      <c r="AX14" s="50">
        <f>IF(COUNTIF('Extended Certificate'!$G$31:$G$37,AW14)&gt;=1,"",ROW())</f>
        <v>14</v>
      </c>
      <c r="AY14" s="49" t="str">
        <f t="shared" si="32"/>
        <v>Unit 21 - Realising Set Design for Performance</v>
      </c>
      <c r="AZ14" s="47"/>
      <c r="BA14" s="14" t="s">
        <v>285</v>
      </c>
      <c r="BB14" s="50">
        <f>IF(COUNTIF(Certificate!$G$23:$G$25,BA14)&gt;=1,"",ROW())</f>
        <v>14</v>
      </c>
      <c r="BC14" s="49" t="str">
        <f t="shared" si="1"/>
        <v>Unit 21 - Realising Set Design for Performance</v>
      </c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14"/>
      <c r="BR14" s="50"/>
      <c r="BS14" s="49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23" t="s">
        <v>321</v>
      </c>
      <c r="CL14" s="50">
        <f>IF(COUNTIF(Certificate!$G$23:$G$25,CK14)&gt;=1,"",ROW())</f>
        <v>14</v>
      </c>
      <c r="CM14" s="47" t="str">
        <f t="shared" si="4"/>
        <v>Unit 29 - Wardrobe for Stage Performance</v>
      </c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 t="s">
        <v>433</v>
      </c>
      <c r="DB14" s="47"/>
      <c r="DC14" s="47"/>
      <c r="DD14" s="47"/>
      <c r="DE14" s="47"/>
      <c r="DF14" s="47"/>
      <c r="DG14" s="47"/>
      <c r="DH14" s="47"/>
      <c r="DI14">
        <f>COUNTIF('Extended Certificate'!$G$21:$G$29, "Unit 3 - Communicating Ideas in 2D")</f>
        <v>0</v>
      </c>
      <c r="DJ14" s="47"/>
      <c r="DK14" s="47"/>
      <c r="DL14" s="47"/>
      <c r="DM14" s="47"/>
      <c r="DN14" s="47"/>
      <c r="DO14" s="47"/>
      <c r="DP14" s="47"/>
      <c r="DQ14" t="s">
        <v>161</v>
      </c>
      <c r="DR14" s="47"/>
      <c r="DS14" s="47"/>
      <c r="DT14" s="47"/>
      <c r="DU14" s="92" t="s">
        <v>160</v>
      </c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14"/>
      <c r="EP14" s="47"/>
      <c r="EQ14" s="47"/>
      <c r="ES14" s="14" t="s">
        <v>408</v>
      </c>
      <c r="ET14" s="47">
        <f>IF(COUNTIF('Extended Certificate'!$G$21:$G$29,ES14)&gt;=1,"",ROW())</f>
        <v>14</v>
      </c>
      <c r="EU14" s="49" t="str">
        <f t="shared" si="30"/>
        <v>Unit 21 - Electronics in Action</v>
      </c>
      <c r="EW14" t="s">
        <v>470</v>
      </c>
      <c r="EX14" s="47">
        <f>IF(COUNTIF('Extended Certificate'!$G$21:$G$29,EW14)&gt;=1,"",ROW())</f>
        <v>14</v>
      </c>
      <c r="EY14" s="49" t="str">
        <f t="shared" si="31"/>
        <v>Unit 17 - Preparing to Respond to Emergency Incidents</v>
      </c>
    </row>
    <row r="15" spans="1:155">
      <c r="A15" s="92" t="str">
        <f>IF(A26=1,"","Unit 18 - 3D Design Briefs")</f>
        <v>Unit 18 - 3D Design Briefs</v>
      </c>
      <c r="B15" s="47">
        <f>IF(COUNTIF('Extended Certificate'!$G$21:$G$29,A15)&gt;=1,"",ROW())</f>
        <v>15</v>
      </c>
      <c r="C15" s="47" t="str">
        <f t="shared" si="6"/>
        <v>Unit 18 - 3D Design Briefs</v>
      </c>
      <c r="E15" s="33" t="str">
        <f>IF(AND(E23=0,E26=1),"","Unit 17 - Visual Merchandising in Retail Business")</f>
        <v>Unit 17 - Visual Merchandising in Retail Business</v>
      </c>
      <c r="F15" s="47">
        <f>IF(COUNTIF('Extended Certificate'!$G$21:$G$29,E15)&gt;=1,"",ROW())</f>
        <v>15</v>
      </c>
      <c r="G15" s="49" t="str">
        <f t="shared" si="7"/>
        <v>Unit 17 - Visual Merchandising in Retail Business</v>
      </c>
      <c r="I15" s="47"/>
      <c r="J15" s="47"/>
      <c r="K15" s="47"/>
      <c r="L15" s="47"/>
      <c r="M15" s="47" t="str">
        <f>IF(OR(P20=1,P23=1,P29=1,P32=1),"","Unit 18 - Painting and Paperhanging Operations")</f>
        <v>Unit 18 - Painting and Paperhanging Operations</v>
      </c>
      <c r="N15" s="47">
        <f>IF(COUNTIF('Extended Certificate'!$G$21:$G$29,M15)&gt;=1,"",ROW())</f>
        <v>15</v>
      </c>
      <c r="O15" s="49" t="str">
        <f t="shared" si="8"/>
        <v>Unit 18 - Painting and Paperhanging Operations</v>
      </c>
      <c r="P15" s="47"/>
      <c r="Q15" s="47"/>
      <c r="R15" s="47"/>
      <c r="S15" s="47"/>
      <c r="T15" s="47"/>
      <c r="U15" s="47" t="s">
        <v>426</v>
      </c>
      <c r="V15" s="47">
        <f>IF(COUNTIF('Extended Certificate'!$G$21:$G$29,U15)&gt;=1,"",ROW())</f>
        <v>15</v>
      </c>
      <c r="W15" s="49" t="str">
        <f t="shared" si="10"/>
        <v>Unit 18 - Computer Numerical Control Programming</v>
      </c>
      <c r="X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23" t="s">
        <v>326</v>
      </c>
      <c r="AL15" s="47">
        <f>IF(COUNTIF('Extended Certificate'!$G$21:$G$29,AK15)&gt;=1,"",ROW())</f>
        <v>15</v>
      </c>
      <c r="AM15" s="49" t="str">
        <f t="shared" si="13"/>
        <v>Unit 17 - Multimedia Products Development</v>
      </c>
      <c r="AN15" s="47"/>
      <c r="AR15" s="47"/>
      <c r="AS15" s="47"/>
      <c r="AT15" s="47"/>
      <c r="AU15" s="47"/>
      <c r="AV15" s="47"/>
      <c r="AW15" s="14" t="s">
        <v>292</v>
      </c>
      <c r="AX15" s="50">
        <f>IF(COUNTIF('Extended Certificate'!$G$31:$G$37,AW15)&gt;=1,"",ROW())</f>
        <v>15</v>
      </c>
      <c r="AY15" s="49" t="str">
        <f t="shared" si="32"/>
        <v>Unit 22 - Realising Prop Design for Performance</v>
      </c>
      <c r="AZ15" s="47"/>
      <c r="BA15" s="14" t="s">
        <v>292</v>
      </c>
      <c r="BB15" s="50">
        <f>IF(COUNTIF(Certificate!$G$23:$G$25,BA15)&gt;=1,"",ROW())</f>
        <v>15</v>
      </c>
      <c r="BC15" s="49" t="str">
        <f t="shared" si="1"/>
        <v>Unit 22 - Realising Prop Design for Performance</v>
      </c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14"/>
      <c r="BR15" s="50"/>
      <c r="BS15" s="49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J15" s="47"/>
      <c r="DK15" s="47"/>
      <c r="DL15" s="47"/>
      <c r="DM15" s="47"/>
      <c r="DN15" s="47"/>
      <c r="DO15" s="47"/>
      <c r="DP15" s="47"/>
      <c r="DQ15">
        <f>COUNTIF('Extended Certificate'!$G$21:$G$29, "Unit 4 - Communicating Ideas in 3D")</f>
        <v>0</v>
      </c>
      <c r="DR15" s="47"/>
      <c r="DS15" s="47"/>
      <c r="DT15" s="47"/>
      <c r="DU15">
        <f>COUNTIF('Extended Certificate'!$G$21:$G$29, "Unit 3 - Communicating Ideas in 2D")</f>
        <v>0</v>
      </c>
      <c r="DV15" s="47"/>
      <c r="DW15" s="47"/>
      <c r="DX15" s="47"/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47"/>
      <c r="ES15" s="14" t="s">
        <v>409</v>
      </c>
      <c r="ET15" s="47">
        <f>IF(COUNTIF('Extended Certificate'!$G$21:$G$29,ES15)&gt;=1,"",ROW())</f>
        <v>15</v>
      </c>
      <c r="EU15" s="49" t="str">
        <f t="shared" si="30"/>
        <v>Unit 22 - Biotechnology Procedures and Applications</v>
      </c>
      <c r="EW15" t="s">
        <v>471</v>
      </c>
      <c r="EX15" s="47">
        <f>IF(COUNTIF('Extended Certificate'!$G$21:$G$29,EW15)&gt;=1,"",ROW())</f>
        <v>15</v>
      </c>
      <c r="EY15" s="49" t="str">
        <f t="shared" si="31"/>
        <v>Unit 18 - Security Procedures in the Public Services</v>
      </c>
    </row>
    <row r="16" spans="1:155">
      <c r="A16" s="92" t="s">
        <v>414</v>
      </c>
      <c r="B16" s="47">
        <f>IF(COUNTIF('Extended Certificate'!$G$21:$G$29,A16)&gt;=1,"",ROW())</f>
        <v>16</v>
      </c>
      <c r="C16" s="47" t="str">
        <f t="shared" si="6"/>
        <v>Unit 19 - Digital Art and Design Briefs</v>
      </c>
      <c r="I16" s="47"/>
      <c r="J16" s="47"/>
      <c r="K16" s="47"/>
      <c r="L16" s="47"/>
      <c r="M16" s="47" t="str">
        <f>IF(OR(P20=1,P23=1,P26=1,P32=1),"","Unit 19 - Plumbing Operations")</f>
        <v>Unit 19 - Plumbing Operations</v>
      </c>
      <c r="N16" s="47">
        <f>IF(COUNTIF('Extended Certificate'!$G$21:$G$29,M16)&gt;=1,"",ROW())</f>
        <v>16</v>
      </c>
      <c r="O16" s="49" t="str">
        <f t="shared" si="8"/>
        <v>Unit 19 - Plumbing Operations</v>
      </c>
      <c r="P16" s="47"/>
      <c r="Q16" s="47"/>
      <c r="R16" s="47"/>
      <c r="S16" s="47"/>
      <c r="T16" s="47"/>
      <c r="U16" s="47" t="s">
        <v>429</v>
      </c>
      <c r="V16" s="47">
        <f>IF(COUNTIF('Extended Certificate'!$G$21:$G$29,U16)&gt;=1,"",ROW())</f>
        <v>16</v>
      </c>
      <c r="W16" s="49" t="str">
        <f t="shared" si="10"/>
        <v>Unit 19 - Bicycle Servicing and Maintenance</v>
      </c>
      <c r="X16" s="47"/>
      <c r="Z16" s="47"/>
      <c r="AA16" s="47"/>
      <c r="AB16" s="47"/>
      <c r="AC16" s="47" t="s">
        <v>666</v>
      </c>
      <c r="AD16" s="47"/>
      <c r="AE16" s="47" t="s">
        <v>661</v>
      </c>
      <c r="AF16" s="47"/>
      <c r="AG16" s="47"/>
      <c r="AH16" s="47"/>
      <c r="AI16" s="47"/>
      <c r="AJ16" s="47"/>
      <c r="AK16" s="47"/>
      <c r="AL16" s="47"/>
      <c r="AM16" s="47"/>
      <c r="AN16" s="47"/>
      <c r="AR16" s="47"/>
      <c r="AS16" s="47"/>
      <c r="AT16" s="47"/>
      <c r="AU16" s="47"/>
      <c r="AV16" s="47"/>
      <c r="AW16" s="14" t="s">
        <v>300</v>
      </c>
      <c r="AX16" s="50">
        <f>IF(COUNTIF('Extended Certificate'!$G$31:$G$37,AW16)&gt;=1,"",ROW())</f>
        <v>16</v>
      </c>
      <c r="AY16" s="49" t="str">
        <f t="shared" si="32"/>
        <v>Unit 23 - Realising Mask Design for Performance</v>
      </c>
      <c r="AZ16" s="47"/>
      <c r="BA16" s="14" t="s">
        <v>300</v>
      </c>
      <c r="BB16" s="50">
        <f>IF(COUNTIF(Certificate!$G$23:$G$25,BA16)&gt;=1,"",ROW())</f>
        <v>16</v>
      </c>
      <c r="BC16" s="49" t="str">
        <f t="shared" si="1"/>
        <v>Unit 23 - Realising Mask Design for Performance</v>
      </c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14"/>
      <c r="BR16" s="50"/>
      <c r="BS16" s="49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t="s">
        <v>663</v>
      </c>
      <c r="DJ16" s="47"/>
      <c r="DK16" s="47"/>
      <c r="DL16" s="47"/>
      <c r="DM16" s="47"/>
      <c r="DN16" s="47"/>
      <c r="DO16" s="47"/>
      <c r="DP16" s="47"/>
      <c r="DR16" s="47"/>
      <c r="DS16" s="47"/>
      <c r="DT16" s="47"/>
      <c r="DV16" s="47"/>
      <c r="DW16" s="47"/>
      <c r="DX16" s="47"/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47"/>
      <c r="ES16" s="14" t="s">
        <v>410</v>
      </c>
      <c r="ET16" s="47">
        <f>IF(COUNTIF('Extended Certificate'!$G$21:$G$29,ES16)&gt;=1,"",ROW())</f>
        <v>16</v>
      </c>
      <c r="EU16" s="49" t="str">
        <f t="shared" si="30"/>
        <v xml:space="preserve">Unit 23 - Further Chemistry </v>
      </c>
    </row>
    <row r="17" spans="1:153">
      <c r="A17" s="92" t="s">
        <v>445</v>
      </c>
      <c r="B17" s="47">
        <f>IF(COUNTIF('Extended Certificate'!$G$21:$G$29,A17)&gt;=1,"",ROW())</f>
        <v>17</v>
      </c>
      <c r="C17" s="47" t="str">
        <f t="shared" si="6"/>
        <v>Unit 20 - Interactive Media Production Briefs</v>
      </c>
      <c r="I17" s="47"/>
      <c r="J17" s="47"/>
      <c r="K17" s="47"/>
      <c r="L17" s="47"/>
      <c r="M17" s="47" t="str">
        <f>IF(OR(P20=1,P23=1,P26=1,P29=1),"","Unit 20 - Electrical Operations")</f>
        <v>Unit 20 - Electrical Operations</v>
      </c>
      <c r="N17" s="47">
        <f>IF(COUNTIF('Extended Certificate'!$G$21:$G$29,M17)&gt;=1,"",ROW())</f>
        <v>17</v>
      </c>
      <c r="O17" s="49" t="str">
        <f t="shared" si="8"/>
        <v>Unit 20 - Electrical Operations</v>
      </c>
      <c r="P17" s="47"/>
      <c r="Q17" s="47"/>
      <c r="R17" s="47"/>
      <c r="S17" s="47"/>
      <c r="T17" s="47"/>
      <c r="U17" s="47" t="s">
        <v>430</v>
      </c>
      <c r="V17" s="47">
        <f>IF(COUNTIF('Extended Certificate'!$G$21:$G$29,U17)&gt;=1,"",ROW())</f>
        <v>17</v>
      </c>
      <c r="W17" s="49" t="str">
        <f t="shared" si="10"/>
        <v>Unit 20 - Sustainable Vehicle Power and Structure Design</v>
      </c>
      <c r="X17" s="47"/>
      <c r="Z17" s="47"/>
      <c r="AA17" s="47"/>
      <c r="AB17" s="47"/>
      <c r="AC17">
        <f>COUNTIF('Extended Certificate'!$G$21:$G$29, "Unit 6 - Planning, Preparing, Cooking and Finishing Food")</f>
        <v>0</v>
      </c>
      <c r="AD17" s="47"/>
      <c r="AE17">
        <f>COUNTIF('Extended Certificate'!$G$31:$G$33, "Unit 13 - Contemporary World Food Cooking Skills")</f>
        <v>0</v>
      </c>
      <c r="AF17" s="47">
        <f t="shared" ref="AF17" si="33">IF(AND(AC17=0,AE17=1),1,0)</f>
        <v>0</v>
      </c>
      <c r="AG17" s="47"/>
      <c r="AH17" s="47"/>
      <c r="AI17" s="47"/>
      <c r="AJ17" s="47"/>
      <c r="AK17" s="47"/>
      <c r="AL17" s="47"/>
      <c r="AM17" s="47"/>
      <c r="AN17" s="47"/>
      <c r="AR17" s="47"/>
      <c r="AS17" s="47"/>
      <c r="AT17" s="47"/>
      <c r="AU17" s="47"/>
      <c r="AV17" s="47"/>
      <c r="AW17" s="14" t="s">
        <v>307</v>
      </c>
      <c r="AX17" s="50">
        <f>IF(COUNTIF('Extended Certificate'!$G$31:$G$37,AW17)&gt;=1,"",ROW())</f>
        <v>17</v>
      </c>
      <c r="AY17" s="49" t="str">
        <f t="shared" si="32"/>
        <v>Unit 24 - Lighting for Performance</v>
      </c>
      <c r="AZ17" s="47"/>
      <c r="BA17" s="14" t="s">
        <v>307</v>
      </c>
      <c r="BB17" s="50">
        <f>IF(COUNTIF(Certificate!$G$23:$G$25,BA17)&gt;=1,"",ROW())</f>
        <v>17</v>
      </c>
      <c r="BC17" s="49" t="str">
        <f t="shared" si="1"/>
        <v>Unit 24 - Lighting for Performance</v>
      </c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14"/>
      <c r="BR17" s="50"/>
      <c r="BS17" s="49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>
        <f>COUNTIF('Extended Certificate'!$G$21:$G$29, "Unit 21 - Painting Briefs")</f>
        <v>0</v>
      </c>
      <c r="DJ17" s="47"/>
      <c r="DK17" s="47"/>
      <c r="DL17" s="47"/>
      <c r="DM17" s="47"/>
      <c r="DN17" s="47"/>
      <c r="DO17" s="47"/>
      <c r="DP17" s="47"/>
      <c r="DQ17" t="s">
        <v>664</v>
      </c>
      <c r="DR17" s="47"/>
      <c r="DS17" s="47"/>
      <c r="DT17" s="47"/>
      <c r="DU17" t="s">
        <v>660</v>
      </c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47"/>
      <c r="ES17" s="14" t="s">
        <v>411</v>
      </c>
      <c r="ET17" s="47">
        <f>IF(COUNTIF('Extended Certificate'!$G$21:$G$29,ES17)&gt;=1,"",ROW())</f>
        <v>17</v>
      </c>
      <c r="EU17" s="49" t="str">
        <f>IF(ROW(ES17)-ROW(ES$2)+1&gt;COUNT(ET$2:ET$17),"",INDEX(ES:ES,SMALL(ET$2:ET$17,1+ROW(ES17)-ROW(ES$2))))</f>
        <v>Unit 24 - Further Physics</v>
      </c>
    </row>
    <row r="18" spans="1:153">
      <c r="A18" s="92" t="str">
        <f>IF(A23=1,"","Unit 21 - Painting Briefs")</f>
        <v>Unit 21 - Painting Briefs</v>
      </c>
      <c r="B18" s="47">
        <f>IF(COUNTIF('Extended Certificate'!$G$21:$G$29,A18)&gt;=1,"",ROW())</f>
        <v>18</v>
      </c>
      <c r="C18" s="47" t="str">
        <f t="shared" si="6"/>
        <v>Unit 21 - Painting Briefs</v>
      </c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R18" s="47"/>
      <c r="AS18" s="47"/>
      <c r="AT18" s="47"/>
      <c r="AU18" s="47"/>
      <c r="AV18" s="47"/>
      <c r="AW18" s="14" t="s">
        <v>312</v>
      </c>
      <c r="AX18" s="50">
        <f>IF(COUNTIF('Extended Certificate'!$G$31:$G$37,AW18)&gt;=1,"",ROW())</f>
        <v>18</v>
      </c>
      <c r="AY18" s="49" t="str">
        <f t="shared" si="32"/>
        <v>Unit 25 - Sound for Performance</v>
      </c>
      <c r="AZ18" s="47"/>
      <c r="BA18" s="14" t="s">
        <v>312</v>
      </c>
      <c r="BB18" s="50">
        <f>IF(COUNTIF(Certificate!$G$23:$G$25,BA18)&gt;=1,"",ROW())</f>
        <v>18</v>
      </c>
      <c r="BC18" s="49" t="str">
        <f t="shared" si="1"/>
        <v>Unit 25 - Sound for Performance</v>
      </c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14"/>
      <c r="BR18" s="50"/>
      <c r="BS18" s="49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J18" s="47"/>
      <c r="DK18" s="47"/>
      <c r="DL18" s="47"/>
      <c r="DM18" s="47"/>
      <c r="DN18" s="47"/>
      <c r="DO18" s="47"/>
      <c r="DP18" s="47"/>
      <c r="DQ18">
        <f>COUNTIF('Extended Certificate'!$G$21:$G$29, "Unit 22 - Designing Products")</f>
        <v>0</v>
      </c>
      <c r="DR18" s="47"/>
      <c r="DS18" s="47"/>
      <c r="DT18" s="47"/>
      <c r="DU18">
        <f>COUNTIF('Extended Certificate'!$G$21:$G$29, "Unit 11 - Graphic Design Briefs")</f>
        <v>0</v>
      </c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</row>
    <row r="19" spans="1:153">
      <c r="A19" s="92" t="str">
        <f>IF(A26=1,"","Unit 22 - Designing Products")</f>
        <v>Unit 22 - Designing Products</v>
      </c>
      <c r="B19" s="47">
        <f>IF(COUNTIF('Extended Certificate'!$G$21:$G$29,A19)&gt;=1,"",ROW())</f>
        <v>19</v>
      </c>
      <c r="C19" s="47" t="str">
        <f>IF(ROW(A19)-ROW(A$2)+1&gt;COUNT(B$2:B$19),"",INDEX(A:A,SMALL(B$2:B$19,1+ROW(A19)-ROW(A$2))))</f>
        <v>Unit 22 - Designing Products</v>
      </c>
      <c r="I19" s="47"/>
      <c r="J19" s="47"/>
      <c r="K19" s="47"/>
      <c r="L19" s="47"/>
      <c r="M19" s="47" t="s">
        <v>666</v>
      </c>
      <c r="N19" s="47"/>
      <c r="O19" t="s">
        <v>665</v>
      </c>
      <c r="P19" s="47" t="s">
        <v>671</v>
      </c>
      <c r="Q19" s="47"/>
      <c r="R19" s="47"/>
      <c r="S19" s="47"/>
      <c r="T19" s="47"/>
      <c r="U19" s="47"/>
      <c r="V19" s="47"/>
      <c r="W19" s="47"/>
      <c r="X19" s="47"/>
      <c r="Y19" s="47" t="s">
        <v>661</v>
      </c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R19" s="47"/>
      <c r="AS19" s="47"/>
      <c r="AT19" s="47"/>
      <c r="AU19" s="47"/>
      <c r="AV19" s="47"/>
      <c r="AW19" s="33" t="s">
        <v>327</v>
      </c>
      <c r="AX19" s="50">
        <f>IF(COUNTIF('Extended Certificate'!$G$31:$G$37,AW19)&gt;=1,"",ROW())</f>
        <v>19</v>
      </c>
      <c r="AY19" s="49" t="str">
        <f t="shared" si="32"/>
        <v>Unit 26 - Supporting Performance: Stage Management</v>
      </c>
      <c r="AZ19" s="47"/>
      <c r="BA19" s="33" t="s">
        <v>327</v>
      </c>
      <c r="BB19" s="50">
        <f>IF(COUNTIF(Certificate!$G$23:$G$25,BA19)&gt;=1,"",ROW())</f>
        <v>19</v>
      </c>
      <c r="BC19" s="49" t="str">
        <f t="shared" si="1"/>
        <v>Unit 26 - Supporting Performance: Stage Management</v>
      </c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33"/>
      <c r="BR19" s="50"/>
      <c r="BS19" s="49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J19" s="47"/>
      <c r="DK19" s="47"/>
      <c r="DL19" s="47"/>
      <c r="DM19" s="47"/>
      <c r="DN19" s="47"/>
      <c r="DO19" s="47"/>
      <c r="DP19" s="47"/>
      <c r="DR19" s="47"/>
      <c r="DS19" s="47"/>
      <c r="DT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47"/>
      <c r="ES19" t="s">
        <v>433</v>
      </c>
      <c r="EW19" t="s">
        <v>667</v>
      </c>
    </row>
    <row r="20" spans="1:153">
      <c r="I20" s="47"/>
      <c r="J20" s="47"/>
      <c r="K20" s="47"/>
      <c r="L20" s="47"/>
      <c r="M20">
        <f>COUNTIF('Extended Certificate'!$G$21:$G$29, "Unit 6 - Exploring Carpentry and Joinery Principles and Techniques")</f>
        <v>0</v>
      </c>
      <c r="N20" s="47"/>
      <c r="O20">
        <f>COUNTIF('Extended Certificate'!$G$21:$G$29, "Unit 16 - Carpentry and Joinery Operations")</f>
        <v>0</v>
      </c>
      <c r="P20" s="47">
        <f>IF(AND(M20=0,O20=1),1,0)</f>
        <v>0</v>
      </c>
      <c r="Q20" s="47"/>
      <c r="R20" s="47"/>
      <c r="S20" s="47"/>
      <c r="T20" s="47"/>
      <c r="U20" s="47"/>
      <c r="V20" s="47"/>
      <c r="W20" s="47"/>
      <c r="X20" s="47"/>
      <c r="Y20">
        <f>COUNTIF('Extended Certificate'!$G$21:$G$29, "Unit 13 - The Health and Social Care Sector")</f>
        <v>0</v>
      </c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33" t="s">
        <v>328</v>
      </c>
      <c r="AX20" s="50">
        <f>IF(COUNTIF('Extended Certificate'!$G$31:$G$37,AW20)&gt;=1,"",ROW())</f>
        <v>20</v>
      </c>
      <c r="AY20" s="49" t="str">
        <f t="shared" si="32"/>
        <v>Unit 27 - Supporting Performance: Front of House</v>
      </c>
      <c r="AZ20" s="47"/>
      <c r="BA20" s="33" t="s">
        <v>328</v>
      </c>
      <c r="BB20" s="50">
        <f>IF(COUNTIF(Certificate!$G$23:$G$25,BA20)&gt;=1,"",ROW())</f>
        <v>20</v>
      </c>
      <c r="BC20" s="49" t="str">
        <f t="shared" si="1"/>
        <v>Unit 27 - Supporting Performance: Front of House</v>
      </c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33"/>
      <c r="BR20" s="50"/>
      <c r="BS20" s="49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J20" s="47"/>
      <c r="DK20" s="47"/>
      <c r="DL20" s="47"/>
      <c r="DM20" s="47"/>
      <c r="DN20" s="47"/>
      <c r="DO20" s="47"/>
      <c r="DP20" s="47"/>
      <c r="DR20" s="47"/>
      <c r="DS20" s="47"/>
      <c r="DT20" s="47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W20">
        <f>COUNTIF('Extended Certificate'!$G$21:$G$29, "Unit 10 - Adventurous Activities in the Public Services")</f>
        <v>0</v>
      </c>
    </row>
    <row r="21" spans="1:153">
      <c r="A21" s="92"/>
      <c r="I21" s="47"/>
      <c r="J21" s="47"/>
      <c r="K21" s="47"/>
      <c r="L21" s="47"/>
      <c r="M21" s="47"/>
      <c r="N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23" t="s">
        <v>317</v>
      </c>
      <c r="AX21" s="50">
        <f>IF(COUNTIF('Extended Certificate'!$G$31:$G$37,AW21)&gt;=1,"",ROW())</f>
        <v>21</v>
      </c>
      <c r="AY21" s="49" t="str">
        <f t="shared" si="32"/>
        <v>Unit 28 - Make-up for Performance</v>
      </c>
      <c r="AZ21" s="47"/>
      <c r="BA21" s="23" t="s">
        <v>317</v>
      </c>
      <c r="BB21" s="50">
        <f>IF(COUNTIF(Certificate!$G$23:$G$25,BA21)&gt;=1,"",ROW())</f>
        <v>21</v>
      </c>
      <c r="BC21" s="49" t="str">
        <f t="shared" si="1"/>
        <v>Unit 28 - Make-up for Performance</v>
      </c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23"/>
      <c r="BR21" s="50"/>
      <c r="BS21" s="49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J21" s="47"/>
      <c r="DK21" s="47"/>
      <c r="DL21" s="47"/>
      <c r="DM21" s="47"/>
      <c r="DN21" s="47"/>
      <c r="DO21" s="47"/>
      <c r="DP21" s="47"/>
      <c r="DR21" s="47"/>
      <c r="DS21" s="47"/>
      <c r="DT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</row>
    <row r="22" spans="1:153">
      <c r="A22" s="92" t="s">
        <v>160</v>
      </c>
      <c r="E22" s="92" t="s">
        <v>161</v>
      </c>
      <c r="I22" s="47"/>
      <c r="J22" s="47"/>
      <c r="K22" s="47"/>
      <c r="L22" s="47"/>
      <c r="M22" s="47" t="s">
        <v>211</v>
      </c>
      <c r="N22" s="47"/>
      <c r="O22" t="s">
        <v>668</v>
      </c>
      <c r="P22" s="47"/>
      <c r="Q22" s="47"/>
      <c r="R22" s="47"/>
      <c r="S22" s="47"/>
      <c r="T22" s="47"/>
      <c r="U22" s="47"/>
      <c r="V22" s="47"/>
      <c r="W22" s="47"/>
      <c r="X22" s="47"/>
      <c r="Y22" s="47" t="s">
        <v>672</v>
      </c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23" t="s">
        <v>321</v>
      </c>
      <c r="AX22" s="50">
        <f>IF(COUNTIF('Extended Certificate'!$G$31:$G$37,AW22)&gt;=1,"",ROW())</f>
        <v>22</v>
      </c>
      <c r="AY22" s="49" t="str">
        <f t="shared" si="32"/>
        <v>Unit 29 - Wardrobe for Stage Performance</v>
      </c>
      <c r="AZ22" s="47"/>
      <c r="BA22" s="23" t="s">
        <v>321</v>
      </c>
      <c r="BB22" s="50">
        <f>IF(COUNTIF(Certificate!$G$23:$G$25,BA22)&gt;=1,"",ROW())</f>
        <v>22</v>
      </c>
      <c r="BC22" s="49" t="str">
        <f t="shared" si="1"/>
        <v>Unit 29 - Wardrobe for Stage Performance</v>
      </c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23"/>
      <c r="BR22" s="50"/>
      <c r="BS22" s="49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J22" s="47"/>
      <c r="DK22" s="47"/>
      <c r="DL22" s="47"/>
      <c r="DM22" s="47"/>
      <c r="DN22" s="47"/>
      <c r="DO22" s="47"/>
      <c r="DP22" s="47"/>
      <c r="DR22" s="47"/>
      <c r="DS22" s="47"/>
      <c r="DT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W22" t="s">
        <v>672</v>
      </c>
    </row>
    <row r="23" spans="1:153">
      <c r="A23">
        <f>COUNTIF('Extended Certificate'!$G$21:$G$29, "Unit 3 - Communicating Ideas in 2D")</f>
        <v>0</v>
      </c>
      <c r="E23">
        <f>COUNTIF('Extended Certificate'!$G$21:$G$29, "Unit 4 - Principles of Customer Service")</f>
        <v>0</v>
      </c>
      <c r="M23">
        <f>COUNTIF('Extended Certificate'!$G$21:$G$29, "Unit 7 - Exploring Brickwork and Blockwork Principles and Techniques")</f>
        <v>0</v>
      </c>
      <c r="O23">
        <f>COUNTIF('Extended Certificate'!$G$21:$G$29, "Unit 17 - Brickwork and Blockwork Operations")</f>
        <v>0</v>
      </c>
      <c r="P23" s="47">
        <f t="shared" ref="P23:P32" si="34">IF(AND(M23=0,O23=1),1,0)</f>
        <v>0</v>
      </c>
      <c r="Y23">
        <f>COUNTIF('Extended Certificate'!$G$21:$G$29, "Unit 14 - The Early Years Sector")</f>
        <v>0</v>
      </c>
      <c r="EW23">
        <f>COUNTIF('Extended Certificate'!$G$21:$G$29, "Unit 14 - Multi-day Expedition Experience")</f>
        <v>0</v>
      </c>
    </row>
    <row r="24" spans="1:153">
      <c r="P24" s="47"/>
    </row>
    <row r="25" spans="1:153">
      <c r="A25" t="s">
        <v>161</v>
      </c>
      <c r="E25" s="92" t="s">
        <v>665</v>
      </c>
      <c r="M25" t="s">
        <v>203</v>
      </c>
      <c r="O25" t="s">
        <v>662</v>
      </c>
      <c r="P25" s="47"/>
    </row>
    <row r="26" spans="1:153">
      <c r="A26">
        <f>COUNTIF('Extended Certificate'!$G$21:$G$29, "Unit 4 - Communicating Ideas in 3D")</f>
        <v>0</v>
      </c>
      <c r="E26">
        <f>COUNTIF('Extended Certificate'!$G$21:$G$29, "Unit 16 - Enhancing the Customer Experience")</f>
        <v>0</v>
      </c>
      <c r="M26">
        <f>COUNTIF('Extended Certificate'!$G$21:$G$29, "Unit 8 - Exploring Painting and Decorating Principles and Techniques")</f>
        <v>0</v>
      </c>
      <c r="O26">
        <f>COUNTIF('Extended Certificate'!$G$21:$G$29, "Unit 18 - Painting and Paperhanging Operations")</f>
        <v>0</v>
      </c>
      <c r="P26" s="47">
        <f t="shared" si="34"/>
        <v>0</v>
      </c>
    </row>
    <row r="27" spans="1:153">
      <c r="P27" s="47"/>
      <c r="Y27" t="s">
        <v>353</v>
      </c>
    </row>
    <row r="28" spans="1:153">
      <c r="A28" t="s">
        <v>200</v>
      </c>
      <c r="M28" t="s">
        <v>200</v>
      </c>
      <c r="O28" t="s">
        <v>669</v>
      </c>
      <c r="P28" s="47"/>
    </row>
    <row r="29" spans="1:153">
      <c r="A29">
        <f>COUNTIF('Extended Certificate'!$G$21:$G$29, "Unit 9 - Design Crafts Briefs")</f>
        <v>0</v>
      </c>
      <c r="M29">
        <f>COUNTIF('Extended Certificate'!$G$21:$G$29, "Unit 9 - Exploring Plumbing Principles and Techniques")</f>
        <v>0</v>
      </c>
      <c r="O29">
        <f>COUNTIF('Extended Certificate'!$G$21:$G$29, "Unit 19 - Plumbing Operations")</f>
        <v>0</v>
      </c>
      <c r="P29" s="47">
        <f t="shared" si="34"/>
        <v>0</v>
      </c>
    </row>
    <row r="30" spans="1:153">
      <c r="P30" s="47"/>
    </row>
    <row r="31" spans="1:153">
      <c r="A31" t="s">
        <v>660</v>
      </c>
      <c r="M31" t="s">
        <v>667</v>
      </c>
      <c r="O31" t="s">
        <v>670</v>
      </c>
      <c r="P31" s="47"/>
    </row>
    <row r="32" spans="1:153">
      <c r="A32">
        <f>COUNTIF('Extended Certificate'!$G$21:$G$29, "Unit 11 - Graphic Design Briefs")</f>
        <v>0</v>
      </c>
      <c r="M32">
        <f>COUNTIF('Extended Certificate'!$G$21:$G$29, "Unit 10 - Exploring Electrical Principles and Techniques")</f>
        <v>0</v>
      </c>
      <c r="O32">
        <f>COUNTIF('Extended Certificate'!$G$21:$G$29, "Unit 20 - Electrical Operations")</f>
        <v>0</v>
      </c>
      <c r="P32" s="47">
        <f t="shared" si="34"/>
        <v>0</v>
      </c>
    </row>
    <row r="34" spans="1:1">
      <c r="A34" t="s">
        <v>661</v>
      </c>
    </row>
    <row r="35" spans="1:1">
      <c r="A35">
        <f>COUNTIF('Extended Certificate'!$G$21:$G$29, "Unit 13 - Visual Arts Briefs")</f>
        <v>0</v>
      </c>
    </row>
    <row r="37" spans="1:1">
      <c r="A37" t="s">
        <v>662</v>
      </c>
    </row>
    <row r="38" spans="1:1">
      <c r="A38">
        <f>COUNTIF('Extended Certificate'!$G$21:$G$29, "Unit 18 - 3D Design Briefs")</f>
        <v>0</v>
      </c>
    </row>
    <row r="40" spans="1:1">
      <c r="A40" t="s">
        <v>663</v>
      </c>
    </row>
    <row r="41" spans="1:1">
      <c r="A41">
        <f>COUNTIF('Extended Certificate'!$G$21:$G$29, "Unit 21 - Painting Briefs")</f>
        <v>0</v>
      </c>
    </row>
    <row r="43" spans="1:1">
      <c r="A43" t="s">
        <v>664</v>
      </c>
    </row>
    <row r="44" spans="1:1">
      <c r="A44">
        <f>COUNTIF('Extended Certificate'!$G$21:$G$29, "Unit 22 - Designing Products")</f>
        <v>0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X356"/>
  <sheetViews>
    <sheetView topLeftCell="R139" workbookViewId="0">
      <selection activeCell="V140" sqref="V140:V170"/>
    </sheetView>
  </sheetViews>
  <sheetFormatPr baseColWidth="10" defaultColWidth="8.83203125" defaultRowHeight="14" x14ac:dyDescent="0"/>
  <cols>
    <col min="1" max="1" width="35.5" customWidth="1"/>
    <col min="2" max="2" width="26.33203125" customWidth="1"/>
    <col min="6" max="6" width="24.83203125" customWidth="1"/>
    <col min="7" max="7" width="27.83203125" customWidth="1"/>
    <col min="11" max="11" width="16.1640625" customWidth="1"/>
    <col min="12" max="12" width="33.6640625" customWidth="1"/>
    <col min="16" max="16" width="31" customWidth="1"/>
    <col min="17" max="17" width="58.5" customWidth="1"/>
    <col min="18" max="18" width="7.83203125" customWidth="1"/>
    <col min="21" max="21" width="30.5" customWidth="1"/>
    <col min="22" max="22" width="45.33203125" customWidth="1"/>
    <col min="23" max="23" width="7.33203125" customWidth="1"/>
    <col min="24" max="24" width="10.6640625" customWidth="1"/>
  </cols>
  <sheetData>
    <row r="1" spans="1:24">
      <c r="A1" s="2" t="s">
        <v>14</v>
      </c>
      <c r="B1" s="2"/>
      <c r="C1" s="2"/>
      <c r="D1" s="2"/>
      <c r="E1" s="2"/>
      <c r="F1" s="2" t="s">
        <v>584</v>
      </c>
      <c r="G1" s="2"/>
      <c r="H1" s="2"/>
      <c r="I1" s="2"/>
      <c r="J1" s="2"/>
      <c r="K1" s="2" t="s">
        <v>583</v>
      </c>
      <c r="L1" s="2"/>
      <c r="M1" s="2"/>
      <c r="N1" s="2"/>
      <c r="P1" s="2" t="s">
        <v>26</v>
      </c>
      <c r="Q1" s="2"/>
      <c r="R1" s="2"/>
      <c r="S1" s="2"/>
      <c r="U1" s="2" t="s">
        <v>501</v>
      </c>
      <c r="V1" s="2"/>
      <c r="W1" s="2"/>
      <c r="X1" s="2"/>
    </row>
    <row r="2" spans="1:24">
      <c r="A2" s="13" t="s">
        <v>10</v>
      </c>
      <c r="B2" s="13" t="s">
        <v>13</v>
      </c>
      <c r="C2" s="13" t="s">
        <v>0</v>
      </c>
      <c r="D2" s="13"/>
      <c r="E2" s="2"/>
      <c r="F2" s="13" t="s">
        <v>10</v>
      </c>
      <c r="G2" s="13" t="s">
        <v>13</v>
      </c>
      <c r="H2" s="13" t="s">
        <v>0</v>
      </c>
      <c r="I2" s="13"/>
      <c r="J2" s="2"/>
      <c r="K2" s="13" t="s">
        <v>10</v>
      </c>
      <c r="L2" s="13" t="s">
        <v>13</v>
      </c>
      <c r="M2" s="13" t="s">
        <v>0</v>
      </c>
      <c r="N2" s="13"/>
      <c r="P2" s="13" t="s">
        <v>10</v>
      </c>
      <c r="Q2" s="13" t="s">
        <v>13</v>
      </c>
      <c r="R2" s="13" t="s">
        <v>0</v>
      </c>
      <c r="S2" s="13"/>
      <c r="U2" s="2" t="s">
        <v>10</v>
      </c>
      <c r="V2" s="2" t="s">
        <v>13</v>
      </c>
      <c r="W2" s="2" t="s">
        <v>0</v>
      </c>
      <c r="X2" s="2"/>
    </row>
    <row r="3" spans="1:24">
      <c r="A3" s="14" t="s">
        <v>50</v>
      </c>
      <c r="B3" s="14" t="s">
        <v>380</v>
      </c>
      <c r="C3" s="14">
        <v>30</v>
      </c>
      <c r="D3" s="14" t="s">
        <v>15</v>
      </c>
      <c r="F3" s="14" t="s">
        <v>50</v>
      </c>
      <c r="G3" s="14" t="s">
        <v>62</v>
      </c>
      <c r="H3" s="14">
        <v>30</v>
      </c>
      <c r="I3" s="14" t="s">
        <v>25</v>
      </c>
      <c r="K3" s="14" t="s">
        <v>50</v>
      </c>
      <c r="L3" s="14" t="s">
        <v>481</v>
      </c>
      <c r="M3" s="14">
        <v>60</v>
      </c>
      <c r="N3" s="14" t="s">
        <v>25</v>
      </c>
      <c r="P3" s="14" t="s">
        <v>50</v>
      </c>
      <c r="Q3" s="23" t="s">
        <v>261</v>
      </c>
      <c r="R3" s="14">
        <v>30</v>
      </c>
      <c r="S3" s="14" t="s">
        <v>15</v>
      </c>
      <c r="U3" s="55" t="s">
        <v>50</v>
      </c>
      <c r="V3" s="55" t="s">
        <v>84</v>
      </c>
      <c r="W3" s="55">
        <v>30</v>
      </c>
      <c r="X3" s="55" t="s">
        <v>15</v>
      </c>
    </row>
    <row r="4" spans="1:24">
      <c r="A4" s="52" t="s">
        <v>180</v>
      </c>
      <c r="B4" s="14" t="s">
        <v>380</v>
      </c>
      <c r="C4" s="14">
        <v>30</v>
      </c>
      <c r="D4" s="14" t="s">
        <v>15</v>
      </c>
      <c r="F4" s="52" t="s">
        <v>180</v>
      </c>
      <c r="G4" s="14" t="s">
        <v>62</v>
      </c>
      <c r="H4" s="14">
        <v>30</v>
      </c>
      <c r="I4" s="14" t="s">
        <v>25</v>
      </c>
      <c r="K4" s="52" t="s">
        <v>180</v>
      </c>
      <c r="L4" s="14" t="s">
        <v>481</v>
      </c>
      <c r="M4" s="14">
        <v>60</v>
      </c>
      <c r="N4" s="14" t="s">
        <v>15</v>
      </c>
      <c r="P4" s="14" t="s">
        <v>180</v>
      </c>
      <c r="Q4" s="23" t="s">
        <v>261</v>
      </c>
      <c r="R4" s="14">
        <v>30</v>
      </c>
      <c r="S4" s="14" t="s">
        <v>15</v>
      </c>
      <c r="U4" s="55" t="s">
        <v>50</v>
      </c>
      <c r="V4" s="55" t="s">
        <v>262</v>
      </c>
      <c r="W4" s="55">
        <v>30</v>
      </c>
      <c r="X4" s="55" t="s">
        <v>15</v>
      </c>
    </row>
    <row r="5" spans="1:24">
      <c r="A5" s="53" t="s">
        <v>181</v>
      </c>
      <c r="B5" s="14" t="s">
        <v>380</v>
      </c>
      <c r="C5" s="14">
        <v>30</v>
      </c>
      <c r="D5" s="14" t="s">
        <v>15</v>
      </c>
      <c r="F5" s="53" t="s">
        <v>181</v>
      </c>
      <c r="G5" s="14" t="s">
        <v>62</v>
      </c>
      <c r="H5" s="14">
        <v>30</v>
      </c>
      <c r="I5" s="14" t="s">
        <v>25</v>
      </c>
      <c r="K5" s="53" t="s">
        <v>181</v>
      </c>
      <c r="L5" s="14" t="s">
        <v>481</v>
      </c>
      <c r="M5" s="14">
        <v>60</v>
      </c>
      <c r="N5" s="14" t="s">
        <v>15</v>
      </c>
      <c r="P5" s="14" t="s">
        <v>181</v>
      </c>
      <c r="Q5" s="23" t="s">
        <v>261</v>
      </c>
      <c r="R5" s="14">
        <v>30</v>
      </c>
      <c r="S5" s="14" t="s">
        <v>15</v>
      </c>
      <c r="U5" s="55" t="s">
        <v>50</v>
      </c>
      <c r="V5" s="55" t="s">
        <v>261</v>
      </c>
      <c r="W5" s="55">
        <v>30</v>
      </c>
      <c r="X5" s="55" t="s">
        <v>15</v>
      </c>
    </row>
    <row r="6" spans="1:24">
      <c r="A6" s="52" t="s">
        <v>182</v>
      </c>
      <c r="B6" s="14" t="s">
        <v>380</v>
      </c>
      <c r="C6" s="14">
        <v>30</v>
      </c>
      <c r="D6" s="14" t="s">
        <v>15</v>
      </c>
      <c r="F6" s="52" t="s">
        <v>182</v>
      </c>
      <c r="G6" s="14" t="s">
        <v>62</v>
      </c>
      <c r="H6" s="14">
        <v>30</v>
      </c>
      <c r="I6" s="14" t="s">
        <v>25</v>
      </c>
      <c r="K6" s="52" t="s">
        <v>182</v>
      </c>
      <c r="L6" s="14" t="s">
        <v>481</v>
      </c>
      <c r="M6" s="14">
        <v>60</v>
      </c>
      <c r="N6" s="14" t="s">
        <v>15</v>
      </c>
      <c r="P6" s="14" t="s">
        <v>182</v>
      </c>
      <c r="Q6" s="23" t="s">
        <v>261</v>
      </c>
      <c r="R6" s="14">
        <v>30</v>
      </c>
      <c r="S6" s="14" t="s">
        <v>15</v>
      </c>
      <c r="U6" s="55" t="s">
        <v>50</v>
      </c>
      <c r="V6" s="55" t="s">
        <v>333</v>
      </c>
      <c r="W6" s="55">
        <v>30</v>
      </c>
      <c r="X6" s="55" t="s">
        <v>15</v>
      </c>
    </row>
    <row r="7" spans="1:24">
      <c r="A7" s="52" t="s">
        <v>183</v>
      </c>
      <c r="B7" s="14" t="s">
        <v>380</v>
      </c>
      <c r="C7" s="14">
        <v>30</v>
      </c>
      <c r="D7" s="14" t="s">
        <v>15</v>
      </c>
      <c r="F7" s="52" t="s">
        <v>183</v>
      </c>
      <c r="G7" s="14" t="s">
        <v>62</v>
      </c>
      <c r="H7" s="14">
        <v>30</v>
      </c>
      <c r="I7" s="14" t="s">
        <v>25</v>
      </c>
      <c r="K7" s="52" t="s">
        <v>183</v>
      </c>
      <c r="L7" s="14" t="s">
        <v>481</v>
      </c>
      <c r="M7" s="14">
        <v>60</v>
      </c>
      <c r="N7" s="14" t="s">
        <v>15</v>
      </c>
      <c r="P7" s="14" t="s">
        <v>183</v>
      </c>
      <c r="Q7" s="23" t="s">
        <v>261</v>
      </c>
      <c r="R7" s="14">
        <v>30</v>
      </c>
      <c r="S7" s="14" t="s">
        <v>15</v>
      </c>
      <c r="U7" s="55" t="s">
        <v>50</v>
      </c>
      <c r="V7" s="97" t="s">
        <v>334</v>
      </c>
      <c r="W7" s="97">
        <v>30</v>
      </c>
      <c r="X7" s="97" t="s">
        <v>25</v>
      </c>
    </row>
    <row r="8" spans="1:24">
      <c r="A8" s="52" t="s">
        <v>184</v>
      </c>
      <c r="B8" s="14" t="s">
        <v>380</v>
      </c>
      <c r="C8" s="14">
        <v>30</v>
      </c>
      <c r="D8" s="14" t="s">
        <v>15</v>
      </c>
      <c r="F8" s="52" t="s">
        <v>184</v>
      </c>
      <c r="G8" s="14" t="s">
        <v>62</v>
      </c>
      <c r="H8" s="14">
        <v>30</v>
      </c>
      <c r="I8" s="14" t="s">
        <v>25</v>
      </c>
      <c r="K8" s="52" t="s">
        <v>184</v>
      </c>
      <c r="L8" s="14" t="s">
        <v>481</v>
      </c>
      <c r="M8" s="14">
        <v>60</v>
      </c>
      <c r="N8" s="14" t="s">
        <v>15</v>
      </c>
      <c r="P8" s="14" t="s">
        <v>184</v>
      </c>
      <c r="Q8" s="23" t="s">
        <v>261</v>
      </c>
      <c r="R8" s="14">
        <v>30</v>
      </c>
      <c r="S8" s="14" t="s">
        <v>15</v>
      </c>
      <c r="U8" s="55" t="s">
        <v>50</v>
      </c>
      <c r="V8" s="55" t="s">
        <v>270</v>
      </c>
      <c r="W8" s="55">
        <v>30</v>
      </c>
      <c r="X8" s="55" t="s">
        <v>15</v>
      </c>
    </row>
    <row r="9" spans="1:24">
      <c r="A9" s="52" t="s">
        <v>185</v>
      </c>
      <c r="B9" s="14" t="s">
        <v>380</v>
      </c>
      <c r="C9" s="14">
        <v>30</v>
      </c>
      <c r="D9" s="14" t="s">
        <v>15</v>
      </c>
      <c r="F9" s="52" t="s">
        <v>185</v>
      </c>
      <c r="G9" s="14" t="s">
        <v>62</v>
      </c>
      <c r="H9" s="14">
        <v>30</v>
      </c>
      <c r="I9" s="14" t="s">
        <v>25</v>
      </c>
      <c r="K9" s="52" t="s">
        <v>185</v>
      </c>
      <c r="L9" s="14" t="s">
        <v>481</v>
      </c>
      <c r="M9" s="14">
        <v>60</v>
      </c>
      <c r="N9" s="14" t="s">
        <v>15</v>
      </c>
      <c r="P9" s="14" t="s">
        <v>185</v>
      </c>
      <c r="Q9" s="23" t="s">
        <v>261</v>
      </c>
      <c r="R9" s="14">
        <v>30</v>
      </c>
      <c r="S9" s="14" t="s">
        <v>15</v>
      </c>
      <c r="U9" s="55" t="s">
        <v>50</v>
      </c>
      <c r="V9" s="54" t="s">
        <v>280</v>
      </c>
      <c r="W9" s="55">
        <v>60</v>
      </c>
      <c r="X9" s="55" t="s">
        <v>15</v>
      </c>
    </row>
    <row r="10" spans="1:24">
      <c r="A10" s="14" t="s">
        <v>51</v>
      </c>
      <c r="B10" s="14" t="s">
        <v>63</v>
      </c>
      <c r="C10" s="14">
        <v>30</v>
      </c>
      <c r="D10" s="14" t="s">
        <v>15</v>
      </c>
      <c r="F10" s="14" t="s">
        <v>51</v>
      </c>
      <c r="G10" s="14" t="s">
        <v>64</v>
      </c>
      <c r="H10" s="14">
        <v>30</v>
      </c>
      <c r="I10" s="14" t="s">
        <v>25</v>
      </c>
      <c r="K10" s="14" t="s">
        <v>51</v>
      </c>
      <c r="L10" s="14" t="s">
        <v>503</v>
      </c>
      <c r="M10" s="14">
        <v>60</v>
      </c>
      <c r="N10" s="14" t="s">
        <v>15</v>
      </c>
      <c r="P10" s="14" t="s">
        <v>51</v>
      </c>
      <c r="Q10" s="33" t="s">
        <v>88</v>
      </c>
      <c r="R10" s="14">
        <v>30</v>
      </c>
      <c r="S10" s="14" t="s">
        <v>15</v>
      </c>
      <c r="U10" s="55" t="s">
        <v>50</v>
      </c>
      <c r="V10" s="54" t="s">
        <v>279</v>
      </c>
      <c r="W10" s="55">
        <v>60</v>
      </c>
      <c r="X10" s="55" t="s">
        <v>15</v>
      </c>
    </row>
    <row r="11" spans="1:24">
      <c r="A11" s="14" t="s">
        <v>129</v>
      </c>
      <c r="B11" s="14" t="s">
        <v>65</v>
      </c>
      <c r="C11" s="14">
        <v>30</v>
      </c>
      <c r="D11" s="14" t="s">
        <v>25</v>
      </c>
      <c r="F11" s="14" t="s">
        <v>129</v>
      </c>
      <c r="G11" s="14" t="s">
        <v>66</v>
      </c>
      <c r="H11" s="14">
        <v>30</v>
      </c>
      <c r="I11" s="14" t="s">
        <v>15</v>
      </c>
      <c r="K11" s="14" t="s">
        <v>129</v>
      </c>
      <c r="L11" s="14"/>
      <c r="M11" s="14"/>
      <c r="N11" s="14"/>
      <c r="P11" s="14" t="s">
        <v>129</v>
      </c>
      <c r="Q11" s="14" t="s">
        <v>94</v>
      </c>
      <c r="R11" s="14">
        <v>60</v>
      </c>
      <c r="S11" s="14" t="s">
        <v>15</v>
      </c>
      <c r="U11" s="55" t="s">
        <v>50</v>
      </c>
      <c r="V11" s="54" t="s">
        <v>296</v>
      </c>
      <c r="W11" s="55">
        <v>60</v>
      </c>
      <c r="X11" s="55" t="s">
        <v>15</v>
      </c>
    </row>
    <row r="12" spans="1:24">
      <c r="A12" s="14" t="s">
        <v>52</v>
      </c>
      <c r="B12" s="14" t="s">
        <v>67</v>
      </c>
      <c r="C12" s="14">
        <v>30</v>
      </c>
      <c r="D12" s="14" t="s">
        <v>25</v>
      </c>
      <c r="F12" s="14" t="s">
        <v>52</v>
      </c>
      <c r="G12" s="14" t="s">
        <v>338</v>
      </c>
      <c r="H12" s="14">
        <v>30</v>
      </c>
      <c r="I12" s="14" t="s">
        <v>15</v>
      </c>
      <c r="K12" s="14" t="s">
        <v>52</v>
      </c>
      <c r="L12" s="14" t="s">
        <v>519</v>
      </c>
      <c r="M12" s="14">
        <v>60</v>
      </c>
      <c r="N12" s="14" t="s">
        <v>15</v>
      </c>
      <c r="P12" s="14" t="s">
        <v>52</v>
      </c>
      <c r="Q12" s="23" t="s">
        <v>95</v>
      </c>
      <c r="R12" s="14">
        <v>30</v>
      </c>
      <c r="S12" s="14" t="s">
        <v>15</v>
      </c>
      <c r="U12" s="55" t="s">
        <v>50</v>
      </c>
      <c r="V12" s="54" t="s">
        <v>288</v>
      </c>
      <c r="W12" s="55">
        <v>60</v>
      </c>
      <c r="X12" s="55" t="s">
        <v>15</v>
      </c>
    </row>
    <row r="13" spans="1:24">
      <c r="A13" s="14" t="s">
        <v>53</v>
      </c>
      <c r="B13" s="14" t="s">
        <v>18</v>
      </c>
      <c r="C13" s="14">
        <v>30</v>
      </c>
      <c r="D13" s="14" t="s">
        <v>25</v>
      </c>
      <c r="F13" s="14" t="s">
        <v>53</v>
      </c>
      <c r="G13" s="14" t="s">
        <v>19</v>
      </c>
      <c r="H13" s="14">
        <v>30</v>
      </c>
      <c r="I13" s="14" t="s">
        <v>15</v>
      </c>
      <c r="K13" s="14" t="s">
        <v>53</v>
      </c>
      <c r="L13" s="14" t="s">
        <v>529</v>
      </c>
      <c r="M13" s="14">
        <v>60</v>
      </c>
      <c r="N13" s="14" t="s">
        <v>15</v>
      </c>
      <c r="P13" s="14" t="s">
        <v>53</v>
      </c>
      <c r="Q13" s="14" t="s">
        <v>27</v>
      </c>
      <c r="R13" s="14">
        <v>30</v>
      </c>
      <c r="S13" s="14" t="s">
        <v>25</v>
      </c>
      <c r="U13" s="55" t="s">
        <v>50</v>
      </c>
      <c r="V13" s="54" t="s">
        <v>339</v>
      </c>
      <c r="W13" s="55">
        <v>60</v>
      </c>
      <c r="X13" s="55" t="s">
        <v>15</v>
      </c>
    </row>
    <row r="14" spans="1:24">
      <c r="A14" s="14" t="s">
        <v>54</v>
      </c>
      <c r="B14" s="14" t="s">
        <v>68</v>
      </c>
      <c r="C14" s="14">
        <v>30</v>
      </c>
      <c r="D14" s="14" t="s">
        <v>25</v>
      </c>
      <c r="F14" s="14" t="s">
        <v>54</v>
      </c>
      <c r="G14" s="14" t="s">
        <v>379</v>
      </c>
      <c r="H14" s="14">
        <v>30</v>
      </c>
      <c r="I14" s="14" t="s">
        <v>15</v>
      </c>
      <c r="K14" s="14" t="s">
        <v>54</v>
      </c>
      <c r="L14" s="14" t="s">
        <v>539</v>
      </c>
      <c r="M14" s="14">
        <v>60</v>
      </c>
      <c r="N14" s="14" t="s">
        <v>15</v>
      </c>
      <c r="P14" s="23" t="s">
        <v>54</v>
      </c>
      <c r="Q14" s="33" t="s">
        <v>102</v>
      </c>
      <c r="R14" s="33">
        <v>30</v>
      </c>
      <c r="S14" s="33" t="s">
        <v>15</v>
      </c>
      <c r="U14" s="55" t="s">
        <v>50</v>
      </c>
      <c r="V14" s="54" t="s">
        <v>297</v>
      </c>
      <c r="W14" s="55">
        <v>60</v>
      </c>
      <c r="X14" s="55" t="s">
        <v>15</v>
      </c>
    </row>
    <row r="15" spans="1:24">
      <c r="A15" s="133" t="s">
        <v>647</v>
      </c>
      <c r="B15" s="14" t="s">
        <v>68</v>
      </c>
      <c r="C15" s="14">
        <v>30</v>
      </c>
      <c r="D15" s="14" t="s">
        <v>25</v>
      </c>
      <c r="F15" s="133" t="s">
        <v>647</v>
      </c>
      <c r="G15" s="14" t="s">
        <v>379</v>
      </c>
      <c r="H15" s="14">
        <v>30</v>
      </c>
      <c r="I15" s="14" t="s">
        <v>15</v>
      </c>
      <c r="K15" s="133" t="s">
        <v>647</v>
      </c>
      <c r="L15" s="14" t="s">
        <v>539</v>
      </c>
      <c r="M15" s="14">
        <v>60</v>
      </c>
      <c r="N15" s="14" t="s">
        <v>15</v>
      </c>
      <c r="P15" s="133" t="s">
        <v>647</v>
      </c>
      <c r="Q15" s="33" t="s">
        <v>102</v>
      </c>
      <c r="R15" s="33">
        <v>30</v>
      </c>
      <c r="S15" s="33" t="s">
        <v>15</v>
      </c>
      <c r="U15" s="55"/>
      <c r="V15" s="54"/>
      <c r="W15" s="55"/>
      <c r="X15" s="55"/>
    </row>
    <row r="16" spans="1:24">
      <c r="A16" s="133" t="s">
        <v>648</v>
      </c>
      <c r="B16" s="14" t="s">
        <v>68</v>
      </c>
      <c r="C16" s="14">
        <v>30</v>
      </c>
      <c r="D16" s="14" t="s">
        <v>25</v>
      </c>
      <c r="F16" s="133" t="s">
        <v>648</v>
      </c>
      <c r="G16" s="14" t="s">
        <v>379</v>
      </c>
      <c r="H16" s="14">
        <v>30</v>
      </c>
      <c r="I16" s="14" t="s">
        <v>15</v>
      </c>
      <c r="K16" s="133" t="s">
        <v>648</v>
      </c>
      <c r="L16" s="14" t="s">
        <v>539</v>
      </c>
      <c r="M16" s="14">
        <v>60</v>
      </c>
      <c r="N16" s="14" t="s">
        <v>15</v>
      </c>
      <c r="P16" s="133" t="s">
        <v>648</v>
      </c>
      <c r="Q16" s="33" t="s">
        <v>102</v>
      </c>
      <c r="R16" s="33">
        <v>30</v>
      </c>
      <c r="S16" s="33" t="s">
        <v>15</v>
      </c>
      <c r="U16" s="55"/>
      <c r="V16" s="54"/>
      <c r="W16" s="55"/>
      <c r="X16" s="55"/>
    </row>
    <row r="17" spans="1:24">
      <c r="A17" s="133" t="s">
        <v>649</v>
      </c>
      <c r="B17" s="14" t="s">
        <v>68</v>
      </c>
      <c r="C17" s="14">
        <v>30</v>
      </c>
      <c r="D17" s="14" t="s">
        <v>25</v>
      </c>
      <c r="F17" s="133" t="s">
        <v>649</v>
      </c>
      <c r="G17" s="14" t="s">
        <v>379</v>
      </c>
      <c r="H17" s="14">
        <v>30</v>
      </c>
      <c r="I17" s="14" t="s">
        <v>15</v>
      </c>
      <c r="K17" s="133" t="s">
        <v>649</v>
      </c>
      <c r="L17" s="14" t="s">
        <v>539</v>
      </c>
      <c r="M17" s="14">
        <v>60</v>
      </c>
      <c r="N17" s="14" t="s">
        <v>15</v>
      </c>
      <c r="P17" s="133" t="s">
        <v>649</v>
      </c>
      <c r="Q17" s="33" t="s">
        <v>102</v>
      </c>
      <c r="R17" s="33">
        <v>30</v>
      </c>
      <c r="S17" s="33" t="s">
        <v>15</v>
      </c>
      <c r="U17" s="55"/>
      <c r="V17" s="54"/>
      <c r="W17" s="55"/>
      <c r="X17" s="55"/>
    </row>
    <row r="18" spans="1:24">
      <c r="A18" s="133" t="s">
        <v>650</v>
      </c>
      <c r="B18" s="14" t="s">
        <v>68</v>
      </c>
      <c r="C18" s="14">
        <v>30</v>
      </c>
      <c r="D18" s="14" t="s">
        <v>25</v>
      </c>
      <c r="F18" s="133" t="s">
        <v>650</v>
      </c>
      <c r="G18" s="14" t="s">
        <v>379</v>
      </c>
      <c r="H18" s="14">
        <v>30</v>
      </c>
      <c r="I18" s="14" t="s">
        <v>15</v>
      </c>
      <c r="K18" s="133" t="s">
        <v>650</v>
      </c>
      <c r="L18" s="14" t="s">
        <v>539</v>
      </c>
      <c r="M18" s="14">
        <v>60</v>
      </c>
      <c r="N18" s="14" t="s">
        <v>15</v>
      </c>
      <c r="P18" s="133" t="s">
        <v>650</v>
      </c>
      <c r="Q18" s="33" t="s">
        <v>102</v>
      </c>
      <c r="R18" s="33">
        <v>30</v>
      </c>
      <c r="S18" s="33" t="s">
        <v>15</v>
      </c>
      <c r="U18" s="55"/>
      <c r="V18" s="54"/>
      <c r="W18" s="55"/>
      <c r="X18" s="55"/>
    </row>
    <row r="19" spans="1:24" ht="15" customHeight="1">
      <c r="A19" s="14" t="s">
        <v>55</v>
      </c>
      <c r="B19" s="14" t="s">
        <v>70</v>
      </c>
      <c r="C19" s="14">
        <v>30</v>
      </c>
      <c r="D19" s="14" t="s">
        <v>25</v>
      </c>
      <c r="F19" s="14" t="s">
        <v>55</v>
      </c>
      <c r="G19" s="14" t="s">
        <v>71</v>
      </c>
      <c r="H19" s="14">
        <v>30</v>
      </c>
      <c r="I19" s="14" t="s">
        <v>15</v>
      </c>
      <c r="K19" s="14" t="s">
        <v>55</v>
      </c>
      <c r="L19" s="134" t="s">
        <v>561</v>
      </c>
      <c r="M19" s="14">
        <v>60</v>
      </c>
      <c r="N19" s="14" t="s">
        <v>15</v>
      </c>
      <c r="P19" s="14" t="s">
        <v>55</v>
      </c>
      <c r="Q19" s="23" t="s">
        <v>342</v>
      </c>
      <c r="R19" s="14">
        <v>30</v>
      </c>
      <c r="S19" s="14" t="s">
        <v>15</v>
      </c>
      <c r="U19" s="55" t="s">
        <v>50</v>
      </c>
      <c r="V19" s="54" t="s">
        <v>295</v>
      </c>
      <c r="W19" s="55">
        <v>60</v>
      </c>
      <c r="X19" s="55" t="s">
        <v>15</v>
      </c>
    </row>
    <row r="20" spans="1:24">
      <c r="A20" s="14" t="s">
        <v>56</v>
      </c>
      <c r="B20" s="14" t="s">
        <v>72</v>
      </c>
      <c r="C20" s="14">
        <v>30</v>
      </c>
      <c r="D20" s="14" t="s">
        <v>25</v>
      </c>
      <c r="F20" s="14" t="s">
        <v>56</v>
      </c>
      <c r="G20" s="14" t="s">
        <v>73</v>
      </c>
      <c r="H20" s="14">
        <v>30</v>
      </c>
      <c r="I20" s="14" t="s">
        <v>15</v>
      </c>
      <c r="K20" s="14" t="s">
        <v>56</v>
      </c>
      <c r="L20" s="14" t="s">
        <v>575</v>
      </c>
      <c r="M20" s="14">
        <v>60</v>
      </c>
      <c r="N20" s="14" t="s">
        <v>15</v>
      </c>
      <c r="P20" s="23" t="s">
        <v>56</v>
      </c>
      <c r="Q20" s="23" t="s">
        <v>114</v>
      </c>
      <c r="R20" s="14">
        <v>30</v>
      </c>
      <c r="S20" s="14" t="s">
        <v>15</v>
      </c>
      <c r="U20" s="55" t="s">
        <v>50</v>
      </c>
      <c r="V20" s="54" t="s">
        <v>412</v>
      </c>
      <c r="W20" s="97">
        <v>30</v>
      </c>
      <c r="X20" s="55" t="s">
        <v>15</v>
      </c>
    </row>
    <row r="21" spans="1:24">
      <c r="A21" s="14" t="s">
        <v>57</v>
      </c>
      <c r="B21" s="14" t="s">
        <v>252</v>
      </c>
      <c r="C21" s="14">
        <v>30</v>
      </c>
      <c r="D21" s="14" t="s">
        <v>25</v>
      </c>
      <c r="F21" s="14" t="s">
        <v>57</v>
      </c>
      <c r="G21" s="14" t="s">
        <v>266</v>
      </c>
      <c r="H21" s="14">
        <v>30</v>
      </c>
      <c r="I21" s="14" t="s">
        <v>25</v>
      </c>
      <c r="K21" s="14" t="s">
        <v>57</v>
      </c>
      <c r="L21" s="14" t="s">
        <v>135</v>
      </c>
      <c r="M21" s="14">
        <v>30</v>
      </c>
      <c r="N21" s="14" t="s">
        <v>15</v>
      </c>
      <c r="P21" s="14" t="s">
        <v>57</v>
      </c>
      <c r="Q21" s="33" t="s">
        <v>326</v>
      </c>
      <c r="R21" s="14">
        <v>60</v>
      </c>
      <c r="S21" s="14" t="s">
        <v>15</v>
      </c>
      <c r="U21" s="55" t="s">
        <v>50</v>
      </c>
      <c r="V21" s="54" t="s">
        <v>443</v>
      </c>
      <c r="W21" s="97">
        <v>30</v>
      </c>
      <c r="X21" s="55" t="s">
        <v>15</v>
      </c>
    </row>
    <row r="22" spans="1:24">
      <c r="A22" s="14" t="s">
        <v>581</v>
      </c>
      <c r="B22" s="14" t="s">
        <v>252</v>
      </c>
      <c r="C22" s="14">
        <v>30</v>
      </c>
      <c r="D22" s="14" t="s">
        <v>25</v>
      </c>
      <c r="F22" s="14" t="s">
        <v>581</v>
      </c>
      <c r="G22" s="14" t="s">
        <v>266</v>
      </c>
      <c r="H22" s="14">
        <v>30</v>
      </c>
      <c r="I22" s="14" t="s">
        <v>25</v>
      </c>
      <c r="K22" s="14" t="s">
        <v>581</v>
      </c>
      <c r="L22" s="14" t="s">
        <v>135</v>
      </c>
      <c r="M22" s="14">
        <v>30</v>
      </c>
      <c r="N22" s="14" t="s">
        <v>15</v>
      </c>
      <c r="P22" s="14" t="s">
        <v>581</v>
      </c>
      <c r="Q22" s="33" t="s">
        <v>316</v>
      </c>
      <c r="R22" s="14">
        <v>60</v>
      </c>
      <c r="S22" s="14" t="s">
        <v>15</v>
      </c>
      <c r="U22" s="55"/>
      <c r="V22" s="54"/>
      <c r="W22" s="97"/>
      <c r="X22" s="55"/>
    </row>
    <row r="23" spans="1:24">
      <c r="A23" s="14" t="s">
        <v>582</v>
      </c>
      <c r="B23" s="14" t="s">
        <v>252</v>
      </c>
      <c r="C23" s="14">
        <v>30</v>
      </c>
      <c r="D23" s="14" t="s">
        <v>25</v>
      </c>
      <c r="F23" s="14" t="s">
        <v>582</v>
      </c>
      <c r="G23" s="14" t="s">
        <v>266</v>
      </c>
      <c r="H23" s="14">
        <v>30</v>
      </c>
      <c r="I23" s="14" t="s">
        <v>25</v>
      </c>
      <c r="K23" s="14" t="s">
        <v>582</v>
      </c>
      <c r="L23" s="14" t="s">
        <v>135</v>
      </c>
      <c r="M23" s="14">
        <v>30</v>
      </c>
      <c r="N23" s="14" t="s">
        <v>15</v>
      </c>
      <c r="P23" s="14" t="s">
        <v>582</v>
      </c>
      <c r="Q23" s="33" t="s">
        <v>144</v>
      </c>
      <c r="R23" s="14">
        <v>60</v>
      </c>
      <c r="S23" s="14" t="s">
        <v>15</v>
      </c>
      <c r="U23" s="55"/>
      <c r="V23" s="54"/>
      <c r="W23" s="97"/>
      <c r="X23" s="55"/>
    </row>
    <row r="24" spans="1:24">
      <c r="A24" s="14" t="s">
        <v>12</v>
      </c>
      <c r="B24" s="14" t="s">
        <v>16</v>
      </c>
      <c r="C24" s="14">
        <v>30</v>
      </c>
      <c r="D24" s="14" t="s">
        <v>25</v>
      </c>
      <c r="F24" s="14" t="s">
        <v>12</v>
      </c>
      <c r="G24" s="14" t="s">
        <v>17</v>
      </c>
      <c r="H24" s="14">
        <v>30</v>
      </c>
      <c r="I24" s="14" t="s">
        <v>15</v>
      </c>
      <c r="K24" s="14" t="s">
        <v>12</v>
      </c>
      <c r="L24" s="14" t="s">
        <v>598</v>
      </c>
      <c r="M24" s="14">
        <v>60</v>
      </c>
      <c r="N24" s="14" t="s">
        <v>15</v>
      </c>
      <c r="P24" s="14" t="s">
        <v>12</v>
      </c>
      <c r="Q24" s="14" t="s">
        <v>28</v>
      </c>
      <c r="R24" s="14">
        <v>30</v>
      </c>
      <c r="S24" s="14" t="s">
        <v>25</v>
      </c>
      <c r="U24" s="55" t="s">
        <v>50</v>
      </c>
      <c r="V24" s="120" t="s">
        <v>413</v>
      </c>
      <c r="W24" s="97">
        <v>60</v>
      </c>
      <c r="X24" s="55" t="s">
        <v>15</v>
      </c>
    </row>
    <row r="25" spans="1:24">
      <c r="A25" s="14" t="s">
        <v>58</v>
      </c>
      <c r="B25" s="14" t="s">
        <v>74</v>
      </c>
      <c r="C25" s="14">
        <v>30</v>
      </c>
      <c r="D25" s="14" t="s">
        <v>25</v>
      </c>
      <c r="F25" s="14" t="s">
        <v>58</v>
      </c>
      <c r="G25" s="14" t="s">
        <v>75</v>
      </c>
      <c r="H25" s="14">
        <v>30</v>
      </c>
      <c r="I25" s="14" t="s">
        <v>15</v>
      </c>
      <c r="K25" s="14" t="s">
        <v>58</v>
      </c>
      <c r="L25" s="23" t="s">
        <v>609</v>
      </c>
      <c r="M25" s="14">
        <v>60</v>
      </c>
      <c r="N25" s="14" t="s">
        <v>15</v>
      </c>
      <c r="P25" s="14" t="s">
        <v>58</v>
      </c>
      <c r="Q25" s="14" t="s">
        <v>358</v>
      </c>
      <c r="R25" s="14">
        <v>30</v>
      </c>
      <c r="S25" s="14" t="s">
        <v>25</v>
      </c>
      <c r="U25" s="55" t="s">
        <v>50</v>
      </c>
      <c r="V25" s="54" t="s">
        <v>414</v>
      </c>
      <c r="W25" s="97">
        <v>60</v>
      </c>
      <c r="X25" s="55" t="s">
        <v>15</v>
      </c>
    </row>
    <row r="26" spans="1:24">
      <c r="A26" s="14" t="s">
        <v>186</v>
      </c>
      <c r="B26" s="14" t="s">
        <v>74</v>
      </c>
      <c r="C26" s="14">
        <v>30</v>
      </c>
      <c r="D26" s="14" t="s">
        <v>25</v>
      </c>
      <c r="F26" s="14" t="s">
        <v>186</v>
      </c>
      <c r="G26" s="14" t="s">
        <v>75</v>
      </c>
      <c r="H26" s="14">
        <v>30</v>
      </c>
      <c r="I26" s="14" t="s">
        <v>15</v>
      </c>
      <c r="K26" s="14" t="s">
        <v>186</v>
      </c>
      <c r="L26" s="23" t="s">
        <v>609</v>
      </c>
      <c r="M26" s="14">
        <v>60</v>
      </c>
      <c r="N26" s="14" t="s">
        <v>15</v>
      </c>
      <c r="P26" s="14" t="s">
        <v>168</v>
      </c>
      <c r="Q26" s="14" t="s">
        <v>458</v>
      </c>
      <c r="R26" s="14">
        <v>30</v>
      </c>
      <c r="S26" s="14" t="s">
        <v>25</v>
      </c>
      <c r="U26" s="55" t="s">
        <v>50</v>
      </c>
      <c r="V26" s="120" t="s">
        <v>445</v>
      </c>
      <c r="W26" s="97">
        <v>60</v>
      </c>
      <c r="X26" s="55" t="s">
        <v>15</v>
      </c>
    </row>
    <row r="27" spans="1:24">
      <c r="A27" s="14" t="s">
        <v>187</v>
      </c>
      <c r="B27" s="14" t="s">
        <v>74</v>
      </c>
      <c r="C27" s="14">
        <v>30</v>
      </c>
      <c r="D27" s="14" t="s">
        <v>25</v>
      </c>
      <c r="F27" s="14" t="s">
        <v>187</v>
      </c>
      <c r="G27" s="14" t="s">
        <v>75</v>
      </c>
      <c r="H27" s="14">
        <v>30</v>
      </c>
      <c r="I27" s="14" t="s">
        <v>15</v>
      </c>
      <c r="K27" s="14" t="s">
        <v>187</v>
      </c>
      <c r="L27" s="23" t="s">
        <v>609</v>
      </c>
      <c r="M27" s="14">
        <v>60</v>
      </c>
      <c r="N27" s="14" t="s">
        <v>15</v>
      </c>
      <c r="P27" s="14" t="s">
        <v>186</v>
      </c>
      <c r="Q27" s="14" t="s">
        <v>120</v>
      </c>
      <c r="R27" s="14">
        <v>60</v>
      </c>
      <c r="S27" s="14" t="s">
        <v>15</v>
      </c>
      <c r="U27" s="55" t="s">
        <v>50</v>
      </c>
      <c r="V27" s="54" t="s">
        <v>415</v>
      </c>
      <c r="W27" s="97">
        <v>60</v>
      </c>
      <c r="X27" s="55" t="s">
        <v>15</v>
      </c>
    </row>
    <row r="28" spans="1:24">
      <c r="A28" s="14" t="s">
        <v>188</v>
      </c>
      <c r="B28" s="14" t="s">
        <v>74</v>
      </c>
      <c r="C28" s="14">
        <v>30</v>
      </c>
      <c r="D28" s="14" t="s">
        <v>25</v>
      </c>
      <c r="F28" s="14" t="s">
        <v>188</v>
      </c>
      <c r="G28" s="14" t="s">
        <v>75</v>
      </c>
      <c r="H28" s="14">
        <v>30</v>
      </c>
      <c r="I28" s="14" t="s">
        <v>15</v>
      </c>
      <c r="K28" s="14" t="s">
        <v>188</v>
      </c>
      <c r="L28" s="23" t="s">
        <v>609</v>
      </c>
      <c r="M28" s="14">
        <v>60</v>
      </c>
      <c r="N28" s="14" t="s">
        <v>15</v>
      </c>
      <c r="P28" s="14" t="s">
        <v>187</v>
      </c>
      <c r="Q28" s="14" t="s">
        <v>121</v>
      </c>
      <c r="R28" s="14">
        <v>60</v>
      </c>
      <c r="S28" s="14" t="s">
        <v>15</v>
      </c>
      <c r="U28" s="55" t="s">
        <v>50</v>
      </c>
      <c r="V28" s="54" t="s">
        <v>416</v>
      </c>
      <c r="W28" s="97">
        <v>60</v>
      </c>
      <c r="X28" s="55" t="s">
        <v>15</v>
      </c>
    </row>
    <row r="29" spans="1:24">
      <c r="A29" s="14" t="s">
        <v>189</v>
      </c>
      <c r="B29" s="14" t="s">
        <v>74</v>
      </c>
      <c r="C29" s="14">
        <v>30</v>
      </c>
      <c r="D29" s="14" t="s">
        <v>25</v>
      </c>
      <c r="F29" s="14" t="s">
        <v>189</v>
      </c>
      <c r="G29" s="14" t="s">
        <v>75</v>
      </c>
      <c r="H29" s="14">
        <v>30</v>
      </c>
      <c r="I29" s="14" t="s">
        <v>15</v>
      </c>
      <c r="K29" s="14" t="s">
        <v>189</v>
      </c>
      <c r="L29" s="23" t="s">
        <v>609</v>
      </c>
      <c r="M29" s="14">
        <v>60</v>
      </c>
      <c r="N29" s="14" t="s">
        <v>15</v>
      </c>
      <c r="P29" s="14" t="s">
        <v>188</v>
      </c>
      <c r="Q29" s="14" t="s">
        <v>275</v>
      </c>
      <c r="R29" s="14">
        <v>60</v>
      </c>
      <c r="S29" s="14" t="s">
        <v>15</v>
      </c>
      <c r="U29" s="55" t="s">
        <v>50</v>
      </c>
      <c r="V29" s="120" t="s">
        <v>482</v>
      </c>
      <c r="W29" s="97">
        <v>60</v>
      </c>
      <c r="X29" s="55" t="s">
        <v>15</v>
      </c>
    </row>
    <row r="30" spans="1:24">
      <c r="A30" s="14" t="s">
        <v>59</v>
      </c>
      <c r="B30" s="14" t="s">
        <v>76</v>
      </c>
      <c r="C30" s="14">
        <v>30</v>
      </c>
      <c r="D30" s="14" t="s">
        <v>25</v>
      </c>
      <c r="F30" s="14" t="s">
        <v>59</v>
      </c>
      <c r="G30" s="14" t="s">
        <v>77</v>
      </c>
      <c r="H30" s="14">
        <v>30</v>
      </c>
      <c r="I30" s="14" t="s">
        <v>15</v>
      </c>
      <c r="K30" s="14" t="s">
        <v>59</v>
      </c>
      <c r="L30" s="23" t="s">
        <v>622</v>
      </c>
      <c r="M30" s="14">
        <v>60</v>
      </c>
      <c r="N30" s="14" t="s">
        <v>15</v>
      </c>
      <c r="P30" s="14" t="s">
        <v>189</v>
      </c>
      <c r="Q30" s="14" t="s">
        <v>124</v>
      </c>
      <c r="R30" s="14">
        <v>60</v>
      </c>
      <c r="S30" s="14" t="s">
        <v>15</v>
      </c>
      <c r="U30" s="55" t="s">
        <v>50</v>
      </c>
      <c r="V30" s="120" t="s">
        <v>483</v>
      </c>
      <c r="W30" s="97">
        <v>60</v>
      </c>
      <c r="X30" s="55" t="s">
        <v>15</v>
      </c>
    </row>
    <row r="31" spans="1:24">
      <c r="A31" s="133" t="s">
        <v>620</v>
      </c>
      <c r="B31" s="14" t="s">
        <v>76</v>
      </c>
      <c r="C31" s="14">
        <v>30</v>
      </c>
      <c r="D31" s="14" t="s">
        <v>25</v>
      </c>
      <c r="F31" s="133" t="s">
        <v>620</v>
      </c>
      <c r="G31" s="14" t="s">
        <v>77</v>
      </c>
      <c r="H31" s="14">
        <v>30</v>
      </c>
      <c r="I31" s="14" t="s">
        <v>15</v>
      </c>
      <c r="K31" s="133" t="s">
        <v>620</v>
      </c>
      <c r="L31" s="23" t="s">
        <v>622</v>
      </c>
      <c r="M31" s="14">
        <v>60</v>
      </c>
      <c r="N31" s="14" t="s">
        <v>15</v>
      </c>
      <c r="P31" s="14" t="s">
        <v>59</v>
      </c>
      <c r="Q31" s="33" t="s">
        <v>125</v>
      </c>
      <c r="R31" s="33">
        <v>30</v>
      </c>
      <c r="S31" s="33" t="s">
        <v>15</v>
      </c>
      <c r="U31" s="55" t="s">
        <v>50</v>
      </c>
      <c r="V31" s="120" t="s">
        <v>484</v>
      </c>
      <c r="W31" s="97">
        <v>60</v>
      </c>
      <c r="X31" s="55" t="s">
        <v>15</v>
      </c>
    </row>
    <row r="32" spans="1:24">
      <c r="A32" s="133" t="s">
        <v>621</v>
      </c>
      <c r="B32" s="14" t="s">
        <v>76</v>
      </c>
      <c r="C32" s="14">
        <v>30</v>
      </c>
      <c r="D32" s="14" t="s">
        <v>25</v>
      </c>
      <c r="F32" s="133" t="s">
        <v>621</v>
      </c>
      <c r="G32" s="14" t="s">
        <v>77</v>
      </c>
      <c r="H32" s="14">
        <v>30</v>
      </c>
      <c r="I32" s="14" t="s">
        <v>15</v>
      </c>
      <c r="K32" s="133" t="s">
        <v>621</v>
      </c>
      <c r="L32" s="23" t="s">
        <v>622</v>
      </c>
      <c r="M32" s="14">
        <v>60</v>
      </c>
      <c r="N32" s="14" t="s">
        <v>15</v>
      </c>
      <c r="P32" s="57" t="s">
        <v>620</v>
      </c>
      <c r="Q32" s="33" t="s">
        <v>125</v>
      </c>
      <c r="R32" s="33">
        <v>30</v>
      </c>
      <c r="S32" s="33" t="s">
        <v>15</v>
      </c>
      <c r="U32" s="55" t="s">
        <v>50</v>
      </c>
      <c r="V32" s="120" t="s">
        <v>485</v>
      </c>
      <c r="W32" s="97">
        <v>60</v>
      </c>
      <c r="X32" s="55" t="s">
        <v>15</v>
      </c>
    </row>
    <row r="33" spans="1:24">
      <c r="A33" s="14" t="s">
        <v>60</v>
      </c>
      <c r="B33" s="14" t="s">
        <v>78</v>
      </c>
      <c r="C33" s="14">
        <v>30</v>
      </c>
      <c r="D33" s="14" t="s">
        <v>25</v>
      </c>
      <c r="F33" s="14" t="s">
        <v>60</v>
      </c>
      <c r="G33" s="14" t="s">
        <v>79</v>
      </c>
      <c r="H33" s="14">
        <v>30</v>
      </c>
      <c r="I33" s="14" t="s">
        <v>15</v>
      </c>
      <c r="K33" s="14" t="s">
        <v>60</v>
      </c>
      <c r="L33" s="23" t="s">
        <v>638</v>
      </c>
      <c r="M33" s="14">
        <v>60</v>
      </c>
      <c r="N33" s="14" t="s">
        <v>15</v>
      </c>
      <c r="P33" s="57" t="s">
        <v>621</v>
      </c>
      <c r="Q33" s="33" t="s">
        <v>125</v>
      </c>
      <c r="R33" s="33">
        <v>30</v>
      </c>
      <c r="S33" s="33" t="s">
        <v>15</v>
      </c>
      <c r="U33" s="55" t="s">
        <v>50</v>
      </c>
      <c r="V33" s="120" t="s">
        <v>486</v>
      </c>
      <c r="W33" s="97">
        <v>60</v>
      </c>
      <c r="X33" s="55" t="s">
        <v>15</v>
      </c>
    </row>
    <row r="34" spans="1:24">
      <c r="A34" s="14" t="s">
        <v>168</v>
      </c>
      <c r="B34" s="14" t="s">
        <v>170</v>
      </c>
      <c r="C34" s="14">
        <v>30</v>
      </c>
      <c r="D34" s="14" t="s">
        <v>25</v>
      </c>
      <c r="F34" s="14" t="s">
        <v>168</v>
      </c>
      <c r="G34" s="14" t="s">
        <v>169</v>
      </c>
      <c r="H34" s="14">
        <v>30</v>
      </c>
      <c r="I34" s="14" t="s">
        <v>15</v>
      </c>
      <c r="K34" s="14" t="s">
        <v>168</v>
      </c>
      <c r="L34" s="14" t="s">
        <v>604</v>
      </c>
      <c r="M34" s="14">
        <v>60</v>
      </c>
      <c r="N34" s="14" t="s">
        <v>15</v>
      </c>
      <c r="P34" s="14" t="s">
        <v>60</v>
      </c>
      <c r="Q34" s="33" t="s">
        <v>260</v>
      </c>
      <c r="R34" s="33">
        <v>30</v>
      </c>
      <c r="S34" s="33" t="s">
        <v>15</v>
      </c>
      <c r="U34" s="55" t="s">
        <v>50</v>
      </c>
      <c r="V34" s="120" t="s">
        <v>487</v>
      </c>
      <c r="W34" s="97">
        <v>60</v>
      </c>
      <c r="X34" s="55" t="s">
        <v>15</v>
      </c>
    </row>
    <row r="35" spans="1:24">
      <c r="P35" s="33" t="s">
        <v>146</v>
      </c>
      <c r="Q35" s="33" t="s">
        <v>371</v>
      </c>
      <c r="R35" s="33">
        <v>30</v>
      </c>
      <c r="S35" s="33" t="s">
        <v>25</v>
      </c>
      <c r="U35" s="55" t="s">
        <v>50</v>
      </c>
      <c r="V35" s="120" t="s">
        <v>488</v>
      </c>
      <c r="W35" s="97">
        <v>60</v>
      </c>
      <c r="X35" s="55" t="s">
        <v>15</v>
      </c>
    </row>
    <row r="36" spans="1:24">
      <c r="U36" s="55" t="s">
        <v>50</v>
      </c>
      <c r="V36" s="120" t="s">
        <v>490</v>
      </c>
      <c r="W36" s="97">
        <v>60</v>
      </c>
      <c r="X36" s="55" t="s">
        <v>15</v>
      </c>
    </row>
    <row r="37" spans="1:24">
      <c r="P37" s="33" t="s">
        <v>146</v>
      </c>
      <c r="Q37" t="s">
        <v>389</v>
      </c>
      <c r="R37">
        <v>30</v>
      </c>
      <c r="S37" t="s">
        <v>15</v>
      </c>
      <c r="U37" s="55" t="s">
        <v>50</v>
      </c>
      <c r="V37" s="120" t="s">
        <v>491</v>
      </c>
      <c r="W37" s="97">
        <v>60</v>
      </c>
      <c r="X37" s="55" t="s">
        <v>15</v>
      </c>
    </row>
    <row r="38" spans="1:24">
      <c r="A38" s="2" t="s">
        <v>608</v>
      </c>
      <c r="B38" s="2"/>
      <c r="C38" s="2"/>
      <c r="D38" s="2"/>
      <c r="P38" s="14" t="s">
        <v>50</v>
      </c>
      <c r="Q38" s="23" t="s">
        <v>87</v>
      </c>
      <c r="R38" s="14">
        <v>30</v>
      </c>
      <c r="S38" s="14" t="s">
        <v>15</v>
      </c>
      <c r="U38" s="55" t="s">
        <v>50</v>
      </c>
      <c r="V38" s="120" t="s">
        <v>492</v>
      </c>
      <c r="W38" s="97">
        <v>60</v>
      </c>
      <c r="X38" s="55" t="s">
        <v>15</v>
      </c>
    </row>
    <row r="39" spans="1:24">
      <c r="A39" s="2" t="s">
        <v>377</v>
      </c>
      <c r="B39" s="2" t="s">
        <v>585</v>
      </c>
      <c r="C39" s="2" t="s">
        <v>0</v>
      </c>
      <c r="D39" s="2" t="s">
        <v>147</v>
      </c>
      <c r="P39" s="14" t="s">
        <v>180</v>
      </c>
      <c r="Q39" s="23" t="s">
        <v>87</v>
      </c>
      <c r="R39" s="14">
        <v>30</v>
      </c>
      <c r="S39" s="14" t="s">
        <v>15</v>
      </c>
      <c r="U39" s="55" t="s">
        <v>50</v>
      </c>
      <c r="V39" s="120" t="s">
        <v>493</v>
      </c>
      <c r="W39" s="97">
        <v>60</v>
      </c>
      <c r="X39" s="55" t="s">
        <v>15</v>
      </c>
    </row>
    <row r="40" spans="1:24">
      <c r="A40" t="s">
        <v>57</v>
      </c>
      <c r="B40" t="s">
        <v>586</v>
      </c>
      <c r="C40">
        <v>60</v>
      </c>
      <c r="D40" t="s">
        <v>15</v>
      </c>
      <c r="P40" s="14" t="s">
        <v>181</v>
      </c>
      <c r="Q40" s="23" t="s">
        <v>87</v>
      </c>
      <c r="R40" s="14">
        <v>30</v>
      </c>
      <c r="S40" s="14" t="s">
        <v>15</v>
      </c>
      <c r="U40" s="55" t="s">
        <v>50</v>
      </c>
      <c r="V40" s="120" t="s">
        <v>494</v>
      </c>
      <c r="W40" s="97">
        <v>60</v>
      </c>
      <c r="X40" s="55" t="s">
        <v>15</v>
      </c>
    </row>
    <row r="41" spans="1:24">
      <c r="A41" t="s">
        <v>581</v>
      </c>
      <c r="B41" t="s">
        <v>586</v>
      </c>
      <c r="C41">
        <v>60</v>
      </c>
      <c r="D41" t="s">
        <v>15</v>
      </c>
      <c r="P41" s="14" t="s">
        <v>182</v>
      </c>
      <c r="Q41" s="23" t="s">
        <v>87</v>
      </c>
      <c r="R41" s="14">
        <v>30</v>
      </c>
      <c r="S41" s="14" t="s">
        <v>15</v>
      </c>
      <c r="U41" s="55" t="s">
        <v>50</v>
      </c>
      <c r="V41" s="120" t="s">
        <v>495</v>
      </c>
      <c r="W41" s="97">
        <v>60</v>
      </c>
      <c r="X41" s="55" t="s">
        <v>15</v>
      </c>
    </row>
    <row r="42" spans="1:24">
      <c r="A42" t="s">
        <v>582</v>
      </c>
      <c r="B42" t="s">
        <v>586</v>
      </c>
      <c r="C42">
        <v>60</v>
      </c>
      <c r="D42" t="s">
        <v>15</v>
      </c>
      <c r="P42" s="14" t="s">
        <v>183</v>
      </c>
      <c r="Q42" s="23" t="s">
        <v>87</v>
      </c>
      <c r="R42" s="14">
        <v>30</v>
      </c>
      <c r="S42" s="14" t="s">
        <v>15</v>
      </c>
      <c r="U42" s="55" t="s">
        <v>50</v>
      </c>
      <c r="V42" s="120" t="s">
        <v>496</v>
      </c>
      <c r="W42" s="55">
        <v>30</v>
      </c>
      <c r="X42" s="55" t="s">
        <v>15</v>
      </c>
    </row>
    <row r="43" spans="1:24">
      <c r="P43" s="14" t="s">
        <v>184</v>
      </c>
      <c r="Q43" s="23" t="s">
        <v>87</v>
      </c>
      <c r="R43" s="14">
        <v>30</v>
      </c>
      <c r="S43" s="14" t="s">
        <v>15</v>
      </c>
      <c r="U43" s="55" t="s">
        <v>50</v>
      </c>
      <c r="V43" s="120" t="s">
        <v>497</v>
      </c>
      <c r="W43" s="97">
        <v>60</v>
      </c>
      <c r="X43" s="55" t="s">
        <v>15</v>
      </c>
    </row>
    <row r="44" spans="1:24">
      <c r="P44" s="14" t="s">
        <v>185</v>
      </c>
      <c r="Q44" s="23" t="s">
        <v>87</v>
      </c>
      <c r="R44" s="14">
        <v>30</v>
      </c>
      <c r="S44" s="14" t="s">
        <v>15</v>
      </c>
      <c r="U44" s="55" t="s">
        <v>50</v>
      </c>
      <c r="V44" s="120" t="s">
        <v>498</v>
      </c>
      <c r="W44" s="97">
        <v>60</v>
      </c>
      <c r="X44" s="55" t="s">
        <v>15</v>
      </c>
    </row>
    <row r="45" spans="1:24">
      <c r="C45" t="s">
        <v>353</v>
      </c>
      <c r="P45" s="14" t="s">
        <v>51</v>
      </c>
      <c r="Q45" s="14" t="s">
        <v>335</v>
      </c>
      <c r="R45" s="14">
        <v>30</v>
      </c>
      <c r="S45" s="14" t="s">
        <v>25</v>
      </c>
      <c r="U45" s="55" t="s">
        <v>50</v>
      </c>
      <c r="V45" s="120" t="s">
        <v>489</v>
      </c>
      <c r="W45" s="97">
        <v>60</v>
      </c>
      <c r="X45" s="55" t="s">
        <v>15</v>
      </c>
    </row>
    <row r="46" spans="1:24">
      <c r="A46" t="s">
        <v>51</v>
      </c>
      <c r="B46" t="s">
        <v>646</v>
      </c>
      <c r="P46" s="14" t="s">
        <v>129</v>
      </c>
      <c r="Q46" s="14" t="s">
        <v>354</v>
      </c>
      <c r="R46" s="14">
        <v>30</v>
      </c>
      <c r="S46" s="14" t="s">
        <v>25</v>
      </c>
      <c r="U46" s="55" t="s">
        <v>51</v>
      </c>
      <c r="V46" s="55" t="s">
        <v>88</v>
      </c>
      <c r="W46" s="55">
        <v>30</v>
      </c>
      <c r="X46" s="55" t="s">
        <v>15</v>
      </c>
    </row>
    <row r="47" spans="1:24">
      <c r="B47" t="s">
        <v>646</v>
      </c>
      <c r="P47" s="14" t="s">
        <v>52</v>
      </c>
      <c r="Q47" s="33" t="s">
        <v>96</v>
      </c>
      <c r="R47" s="33">
        <v>30</v>
      </c>
      <c r="S47" s="33" t="s">
        <v>15</v>
      </c>
      <c r="U47" s="55" t="s">
        <v>51</v>
      </c>
      <c r="V47" s="55" t="s">
        <v>89</v>
      </c>
      <c r="W47" s="55">
        <v>30</v>
      </c>
      <c r="X47" s="55" t="s">
        <v>15</v>
      </c>
    </row>
    <row r="48" spans="1:24">
      <c r="P48" s="14" t="s">
        <v>53</v>
      </c>
      <c r="Q48" s="23" t="s">
        <v>530</v>
      </c>
      <c r="R48" s="23">
        <v>60</v>
      </c>
      <c r="S48" s="23" t="s">
        <v>15</v>
      </c>
      <c r="U48" s="55" t="s">
        <v>51</v>
      </c>
      <c r="V48" s="55" t="s">
        <v>271</v>
      </c>
      <c r="W48" s="55">
        <v>30</v>
      </c>
      <c r="X48" s="55" t="s">
        <v>15</v>
      </c>
    </row>
    <row r="49" spans="16:24">
      <c r="P49" s="23" t="s">
        <v>54</v>
      </c>
      <c r="Q49" s="33" t="s">
        <v>104</v>
      </c>
      <c r="R49" s="33">
        <v>30</v>
      </c>
      <c r="S49" s="33" t="s">
        <v>15</v>
      </c>
      <c r="U49" s="55" t="s">
        <v>51</v>
      </c>
      <c r="V49" s="55" t="s">
        <v>91</v>
      </c>
      <c r="W49" s="55">
        <v>30</v>
      </c>
      <c r="X49" s="55" t="s">
        <v>15</v>
      </c>
    </row>
    <row r="50" spans="16:24">
      <c r="P50" s="133" t="s">
        <v>647</v>
      </c>
      <c r="Q50" s="33" t="s">
        <v>104</v>
      </c>
      <c r="R50" s="33">
        <v>30</v>
      </c>
      <c r="S50" s="33" t="s">
        <v>15</v>
      </c>
      <c r="U50" s="55"/>
      <c r="V50" s="55"/>
      <c r="W50" s="55"/>
      <c r="X50" s="55"/>
    </row>
    <row r="51" spans="16:24">
      <c r="P51" s="133" t="s">
        <v>648</v>
      </c>
      <c r="Q51" s="33" t="s">
        <v>103</v>
      </c>
      <c r="R51" s="33">
        <v>30</v>
      </c>
      <c r="S51" s="33" t="s">
        <v>15</v>
      </c>
      <c r="U51" s="55"/>
      <c r="V51" s="55"/>
      <c r="W51" s="55"/>
      <c r="X51" s="55"/>
    </row>
    <row r="52" spans="16:24">
      <c r="P52" s="133" t="s">
        <v>649</v>
      </c>
      <c r="Q52" s="33" t="s">
        <v>104</v>
      </c>
      <c r="R52" s="33">
        <v>30</v>
      </c>
      <c r="S52" s="33" t="s">
        <v>15</v>
      </c>
      <c r="U52" s="55"/>
      <c r="V52" s="55"/>
      <c r="W52" s="55"/>
      <c r="X52" s="55"/>
    </row>
    <row r="53" spans="16:24">
      <c r="P53" s="133" t="s">
        <v>650</v>
      </c>
      <c r="Q53" s="33" t="s">
        <v>104</v>
      </c>
      <c r="R53" s="33">
        <v>30</v>
      </c>
      <c r="S53" s="33" t="s">
        <v>15</v>
      </c>
      <c r="U53" s="55"/>
      <c r="V53" s="55"/>
      <c r="W53" s="55"/>
      <c r="X53" s="55"/>
    </row>
    <row r="54" spans="16:24">
      <c r="P54" s="14" t="s">
        <v>55</v>
      </c>
      <c r="Q54" s="33" t="s">
        <v>283</v>
      </c>
      <c r="R54" s="33">
        <v>30</v>
      </c>
      <c r="S54" s="33" t="s">
        <v>15</v>
      </c>
      <c r="U54" s="55" t="s">
        <v>51</v>
      </c>
      <c r="V54" s="55" t="s">
        <v>344</v>
      </c>
      <c r="W54" s="55">
        <v>30</v>
      </c>
      <c r="X54" s="55" t="s">
        <v>15</v>
      </c>
    </row>
    <row r="55" spans="16:24" ht="15" customHeight="1">
      <c r="P55" s="33" t="s">
        <v>56</v>
      </c>
      <c r="Q55" s="70" t="s">
        <v>367</v>
      </c>
      <c r="R55" s="14">
        <v>30</v>
      </c>
      <c r="S55" s="14" t="s">
        <v>25</v>
      </c>
      <c r="U55" s="55" t="s">
        <v>51</v>
      </c>
      <c r="V55" s="55" t="s">
        <v>345</v>
      </c>
      <c r="W55" s="55">
        <v>30</v>
      </c>
      <c r="X55" s="55" t="s">
        <v>15</v>
      </c>
    </row>
    <row r="56" spans="16:24" ht="15" customHeight="1">
      <c r="P56" t="s">
        <v>57</v>
      </c>
      <c r="Q56" s="70" t="s">
        <v>587</v>
      </c>
      <c r="R56" s="14">
        <v>30</v>
      </c>
      <c r="S56" s="14" t="s">
        <v>15</v>
      </c>
      <c r="U56" s="55"/>
      <c r="V56" s="55"/>
      <c r="W56" s="55"/>
      <c r="X56" s="55"/>
    </row>
    <row r="57" spans="16:24" ht="15" customHeight="1">
      <c r="P57" t="s">
        <v>581</v>
      </c>
      <c r="Q57" s="33" t="s">
        <v>326</v>
      </c>
      <c r="R57" s="14">
        <v>60</v>
      </c>
      <c r="S57" s="14" t="s">
        <v>15</v>
      </c>
      <c r="U57" s="55"/>
      <c r="V57" s="55"/>
      <c r="W57" s="55"/>
      <c r="X57" s="55"/>
    </row>
    <row r="58" spans="16:24">
      <c r="P58" t="s">
        <v>582</v>
      </c>
      <c r="Q58" s="33" t="s">
        <v>326</v>
      </c>
      <c r="R58" s="14">
        <v>60</v>
      </c>
      <c r="S58" s="14" t="s">
        <v>15</v>
      </c>
      <c r="U58" s="55" t="s">
        <v>51</v>
      </c>
      <c r="V58" s="97" t="s">
        <v>346</v>
      </c>
      <c r="W58" s="55">
        <v>30</v>
      </c>
      <c r="X58" s="55" t="s">
        <v>15</v>
      </c>
    </row>
    <row r="59" spans="16:24">
      <c r="P59" s="14" t="s">
        <v>12</v>
      </c>
      <c r="Q59" s="23" t="s">
        <v>450</v>
      </c>
      <c r="R59" s="14">
        <v>30</v>
      </c>
      <c r="S59" s="14" t="s">
        <v>15</v>
      </c>
      <c r="U59" s="55" t="s">
        <v>51</v>
      </c>
      <c r="V59" s="97" t="s">
        <v>348</v>
      </c>
      <c r="W59" s="55">
        <v>30</v>
      </c>
      <c r="X59" s="55" t="s">
        <v>15</v>
      </c>
    </row>
    <row r="60" spans="16:24">
      <c r="P60" s="14" t="s">
        <v>58</v>
      </c>
      <c r="Q60" s="23" t="s">
        <v>254</v>
      </c>
      <c r="R60" s="14">
        <v>30</v>
      </c>
      <c r="S60" s="14" t="s">
        <v>15</v>
      </c>
      <c r="U60" s="55"/>
      <c r="V60" s="97"/>
      <c r="W60" s="55"/>
      <c r="X60" s="55"/>
    </row>
    <row r="61" spans="16:24">
      <c r="P61" s="14" t="s">
        <v>186</v>
      </c>
      <c r="Q61" s="14" t="s">
        <v>358</v>
      </c>
      <c r="R61" s="14">
        <v>30</v>
      </c>
      <c r="S61" s="14" t="s">
        <v>25</v>
      </c>
      <c r="U61" s="55" t="s">
        <v>51</v>
      </c>
      <c r="V61" s="97" t="s">
        <v>349</v>
      </c>
      <c r="W61" s="55">
        <v>30</v>
      </c>
      <c r="X61" s="55" t="s">
        <v>15</v>
      </c>
    </row>
    <row r="62" spans="16:24">
      <c r="P62" s="14" t="s">
        <v>187</v>
      </c>
      <c r="Q62" s="14" t="s">
        <v>358</v>
      </c>
      <c r="R62" s="14">
        <v>30</v>
      </c>
      <c r="S62" s="14" t="s">
        <v>25</v>
      </c>
      <c r="U62" s="55" t="s">
        <v>51</v>
      </c>
      <c r="V62" s="97" t="s">
        <v>350</v>
      </c>
      <c r="W62" s="55">
        <v>30</v>
      </c>
      <c r="X62" s="55" t="s">
        <v>15</v>
      </c>
    </row>
    <row r="63" spans="16:24">
      <c r="P63" s="14" t="s">
        <v>188</v>
      </c>
      <c r="Q63" s="14" t="s">
        <v>358</v>
      </c>
      <c r="R63" s="14">
        <v>30</v>
      </c>
      <c r="S63" s="14" t="s">
        <v>25</v>
      </c>
      <c r="U63" s="55" t="s">
        <v>51</v>
      </c>
      <c r="V63" s="97" t="s">
        <v>351</v>
      </c>
      <c r="W63" s="55">
        <v>60</v>
      </c>
      <c r="X63" s="55" t="s">
        <v>15</v>
      </c>
    </row>
    <row r="64" spans="16:24">
      <c r="P64" s="14" t="s">
        <v>189</v>
      </c>
      <c r="Q64" s="14" t="s">
        <v>358</v>
      </c>
      <c r="R64" s="14">
        <v>30</v>
      </c>
      <c r="S64" s="14" t="s">
        <v>25</v>
      </c>
      <c r="U64" s="55" t="s">
        <v>51</v>
      </c>
      <c r="V64" s="97" t="s">
        <v>352</v>
      </c>
      <c r="W64" s="55">
        <v>30</v>
      </c>
      <c r="X64" s="55" t="s">
        <v>15</v>
      </c>
    </row>
    <row r="65" spans="16:24">
      <c r="P65" s="14" t="s">
        <v>168</v>
      </c>
      <c r="Q65" s="23" t="s">
        <v>459</v>
      </c>
      <c r="R65" s="14">
        <v>60</v>
      </c>
      <c r="S65" s="14" t="s">
        <v>15</v>
      </c>
      <c r="U65" s="55" t="s">
        <v>51</v>
      </c>
      <c r="V65" s="97" t="s">
        <v>386</v>
      </c>
      <c r="W65" s="55">
        <v>30</v>
      </c>
      <c r="X65" s="55" t="s">
        <v>15</v>
      </c>
    </row>
    <row r="66" spans="16:24">
      <c r="P66" s="14" t="s">
        <v>59</v>
      </c>
      <c r="Q66" s="23" t="s">
        <v>126</v>
      </c>
      <c r="R66" s="14">
        <v>30</v>
      </c>
      <c r="S66" s="14" t="s">
        <v>15</v>
      </c>
      <c r="U66" s="55"/>
      <c r="V66" s="97"/>
      <c r="W66" s="55"/>
      <c r="X66" s="55"/>
    </row>
    <row r="67" spans="16:24">
      <c r="P67" s="57" t="s">
        <v>620</v>
      </c>
      <c r="Q67" s="23" t="s">
        <v>126</v>
      </c>
      <c r="R67" s="14">
        <v>30</v>
      </c>
      <c r="S67" s="14" t="s">
        <v>15</v>
      </c>
      <c r="U67" s="55"/>
      <c r="V67" s="97"/>
      <c r="W67" s="55"/>
      <c r="X67" s="55"/>
    </row>
    <row r="68" spans="16:24">
      <c r="P68" s="57" t="s">
        <v>621</v>
      </c>
      <c r="Q68" s="23" t="s">
        <v>126</v>
      </c>
      <c r="R68" s="14">
        <v>30</v>
      </c>
      <c r="S68" s="14" t="s">
        <v>15</v>
      </c>
      <c r="U68" s="55"/>
      <c r="V68" s="97"/>
      <c r="W68" s="55"/>
      <c r="X68" s="55"/>
    </row>
    <row r="69" spans="16:24">
      <c r="P69" s="14" t="s">
        <v>60</v>
      </c>
      <c r="Q69" s="14" t="s">
        <v>81</v>
      </c>
      <c r="R69" s="14">
        <v>30</v>
      </c>
      <c r="S69" s="14" t="s">
        <v>15</v>
      </c>
      <c r="U69" s="55" t="s">
        <v>51</v>
      </c>
      <c r="V69" s="97" t="s">
        <v>387</v>
      </c>
      <c r="W69" s="55">
        <v>30</v>
      </c>
      <c r="X69" s="55" t="s">
        <v>15</v>
      </c>
    </row>
    <row r="70" spans="16:24">
      <c r="U70" s="55" t="s">
        <v>51</v>
      </c>
      <c r="V70" s="101" t="s">
        <v>503</v>
      </c>
      <c r="W70" s="101">
        <v>60</v>
      </c>
      <c r="X70" s="55" t="s">
        <v>15</v>
      </c>
    </row>
    <row r="71" spans="16:24">
      <c r="P71" s="14" t="s">
        <v>50</v>
      </c>
      <c r="Q71" s="23" t="s">
        <v>334</v>
      </c>
      <c r="R71" s="23">
        <v>30</v>
      </c>
      <c r="S71" s="23" t="s">
        <v>25</v>
      </c>
      <c r="U71" s="55" t="s">
        <v>51</v>
      </c>
      <c r="V71" s="33" t="s">
        <v>502</v>
      </c>
      <c r="W71" s="101">
        <v>60</v>
      </c>
      <c r="X71" s="55" t="s">
        <v>15</v>
      </c>
    </row>
    <row r="72" spans="16:24">
      <c r="P72" s="14" t="s">
        <v>180</v>
      </c>
      <c r="Q72" s="23" t="s">
        <v>334</v>
      </c>
      <c r="R72" s="23">
        <v>30</v>
      </c>
      <c r="S72" s="23" t="s">
        <v>25</v>
      </c>
      <c r="U72" s="55" t="s">
        <v>51</v>
      </c>
      <c r="V72" s="33" t="s">
        <v>504</v>
      </c>
      <c r="W72" s="101">
        <v>60</v>
      </c>
      <c r="X72" s="55" t="s">
        <v>15</v>
      </c>
    </row>
    <row r="73" spans="16:24">
      <c r="P73" s="14" t="s">
        <v>181</v>
      </c>
      <c r="Q73" s="23" t="s">
        <v>334</v>
      </c>
      <c r="R73" s="23">
        <v>30</v>
      </c>
      <c r="S73" s="23" t="s">
        <v>25</v>
      </c>
      <c r="U73" s="55" t="s">
        <v>51</v>
      </c>
      <c r="V73" s="33" t="s">
        <v>505</v>
      </c>
      <c r="W73" s="101">
        <v>60</v>
      </c>
      <c r="X73" s="55" t="s">
        <v>15</v>
      </c>
    </row>
    <row r="74" spans="16:24">
      <c r="P74" s="14" t="s">
        <v>182</v>
      </c>
      <c r="Q74" s="23" t="s">
        <v>334</v>
      </c>
      <c r="R74" s="23">
        <v>30</v>
      </c>
      <c r="S74" s="23" t="s">
        <v>25</v>
      </c>
      <c r="U74" s="55" t="s">
        <v>51</v>
      </c>
      <c r="V74" s="33" t="s">
        <v>506</v>
      </c>
      <c r="W74" s="101">
        <v>60</v>
      </c>
      <c r="X74" s="55" t="s">
        <v>15</v>
      </c>
    </row>
    <row r="75" spans="16:24">
      <c r="P75" s="14" t="s">
        <v>183</v>
      </c>
      <c r="Q75" s="23" t="s">
        <v>334</v>
      </c>
      <c r="R75" s="23">
        <v>30</v>
      </c>
      <c r="S75" s="23" t="s">
        <v>25</v>
      </c>
      <c r="U75" s="55" t="s">
        <v>51</v>
      </c>
      <c r="V75" s="33" t="s">
        <v>507</v>
      </c>
      <c r="W75" s="101">
        <v>60</v>
      </c>
      <c r="X75" s="55" t="s">
        <v>15</v>
      </c>
    </row>
    <row r="76" spans="16:24">
      <c r="P76" s="14" t="s">
        <v>184</v>
      </c>
      <c r="Q76" s="23" t="s">
        <v>334</v>
      </c>
      <c r="R76" s="23">
        <v>30</v>
      </c>
      <c r="S76" s="23" t="s">
        <v>25</v>
      </c>
      <c r="U76" s="55" t="s">
        <v>51</v>
      </c>
      <c r="V76" s="33" t="s">
        <v>508</v>
      </c>
      <c r="W76" s="101">
        <v>60</v>
      </c>
      <c r="X76" s="55" t="s">
        <v>15</v>
      </c>
    </row>
    <row r="77" spans="16:24">
      <c r="P77" s="14" t="s">
        <v>185</v>
      </c>
      <c r="Q77" s="23" t="s">
        <v>334</v>
      </c>
      <c r="R77" s="23">
        <v>30</v>
      </c>
      <c r="S77" s="23" t="s">
        <v>25</v>
      </c>
      <c r="U77" s="55" t="s">
        <v>51</v>
      </c>
      <c r="V77" s="33" t="s">
        <v>509</v>
      </c>
      <c r="W77" s="101">
        <v>60</v>
      </c>
      <c r="X77" s="55" t="s">
        <v>15</v>
      </c>
    </row>
    <row r="78" spans="16:24">
      <c r="P78" s="14" t="s">
        <v>51</v>
      </c>
      <c r="Q78" s="14" t="s">
        <v>502</v>
      </c>
      <c r="R78" s="14">
        <v>60</v>
      </c>
      <c r="S78" s="14" t="s">
        <v>25</v>
      </c>
      <c r="U78" s="55" t="s">
        <v>51</v>
      </c>
      <c r="V78" s="33" t="s">
        <v>510</v>
      </c>
      <c r="W78" s="101">
        <v>60</v>
      </c>
      <c r="X78" s="55" t="s">
        <v>15</v>
      </c>
    </row>
    <row r="79" spans="16:24">
      <c r="P79" s="14" t="s">
        <v>52</v>
      </c>
      <c r="Q79" s="23" t="s">
        <v>355</v>
      </c>
      <c r="R79" s="14">
        <v>30</v>
      </c>
      <c r="S79" s="14" t="s">
        <v>25</v>
      </c>
      <c r="U79" s="55" t="s">
        <v>51</v>
      </c>
      <c r="V79" s="33" t="s">
        <v>511</v>
      </c>
      <c r="W79" s="101">
        <v>60</v>
      </c>
      <c r="X79" s="55" t="s">
        <v>15</v>
      </c>
    </row>
    <row r="80" spans="16:24">
      <c r="P80" s="14" t="s">
        <v>54</v>
      </c>
      <c r="Q80" s="23" t="s">
        <v>341</v>
      </c>
      <c r="R80" s="14">
        <v>30</v>
      </c>
      <c r="S80" s="14" t="s">
        <v>25</v>
      </c>
      <c r="U80" s="55" t="s">
        <v>51</v>
      </c>
      <c r="V80" s="33" t="s">
        <v>512</v>
      </c>
      <c r="W80" s="101">
        <v>60</v>
      </c>
      <c r="X80" s="55" t="s">
        <v>15</v>
      </c>
    </row>
    <row r="81" spans="16:24">
      <c r="P81" s="133" t="s">
        <v>647</v>
      </c>
      <c r="Q81" s="23" t="s">
        <v>341</v>
      </c>
      <c r="R81" s="14">
        <v>30</v>
      </c>
      <c r="S81" s="14" t="s">
        <v>25</v>
      </c>
      <c r="U81" s="55"/>
      <c r="V81" s="33"/>
      <c r="W81" s="101"/>
      <c r="X81" s="55"/>
    </row>
    <row r="82" spans="16:24">
      <c r="P82" s="133" t="s">
        <v>648</v>
      </c>
      <c r="Q82" s="33" t="s">
        <v>104</v>
      </c>
      <c r="R82" s="33">
        <v>30</v>
      </c>
      <c r="S82" s="33" t="s">
        <v>15</v>
      </c>
      <c r="U82" s="55"/>
      <c r="V82" s="33"/>
      <c r="W82" s="101"/>
      <c r="X82" s="55"/>
    </row>
    <row r="83" spans="16:24">
      <c r="P83" s="133" t="s">
        <v>649</v>
      </c>
      <c r="Q83" s="23" t="s">
        <v>341</v>
      </c>
      <c r="R83" s="14">
        <v>30</v>
      </c>
      <c r="S83" s="14" t="s">
        <v>25</v>
      </c>
      <c r="U83" s="55"/>
      <c r="V83" s="33"/>
      <c r="W83" s="101"/>
      <c r="X83" s="55"/>
    </row>
    <row r="84" spans="16:24">
      <c r="P84" s="133" t="s">
        <v>650</v>
      </c>
      <c r="Q84" s="23" t="s">
        <v>341</v>
      </c>
      <c r="R84" s="14">
        <v>30</v>
      </c>
      <c r="S84" s="14" t="s">
        <v>25</v>
      </c>
      <c r="U84" s="55"/>
      <c r="V84" s="33"/>
      <c r="W84" s="101"/>
      <c r="X84" s="55"/>
    </row>
    <row r="85" spans="16:24">
      <c r="P85" s="14" t="s">
        <v>55</v>
      </c>
      <c r="Q85" s="23" t="s">
        <v>113</v>
      </c>
      <c r="R85" s="14">
        <v>30</v>
      </c>
      <c r="S85" s="14" t="s">
        <v>15</v>
      </c>
      <c r="T85" t="s">
        <v>353</v>
      </c>
      <c r="U85" s="55" t="s">
        <v>51</v>
      </c>
      <c r="V85" s="33" t="s">
        <v>513</v>
      </c>
      <c r="W85" s="101">
        <v>60</v>
      </c>
      <c r="X85" s="55" t="s">
        <v>15</v>
      </c>
    </row>
    <row r="86" spans="16:24">
      <c r="P86" s="14" t="s">
        <v>56</v>
      </c>
      <c r="Q86" s="23" t="s">
        <v>446</v>
      </c>
      <c r="R86" s="14">
        <v>60</v>
      </c>
      <c r="S86" s="14" t="s">
        <v>15</v>
      </c>
      <c r="U86" s="55" t="s">
        <v>51</v>
      </c>
      <c r="V86" s="33" t="s">
        <v>514</v>
      </c>
      <c r="W86" s="55">
        <v>30</v>
      </c>
      <c r="X86" s="55" t="s">
        <v>15</v>
      </c>
    </row>
    <row r="87" spans="16:24">
      <c r="P87" t="s">
        <v>581</v>
      </c>
      <c r="Q87" s="23" t="s">
        <v>587</v>
      </c>
      <c r="R87" s="14">
        <v>30</v>
      </c>
      <c r="S87" s="14" t="s">
        <v>15</v>
      </c>
      <c r="U87" s="55" t="s">
        <v>51</v>
      </c>
      <c r="V87" s="33" t="s">
        <v>515</v>
      </c>
      <c r="W87" s="55">
        <v>30</v>
      </c>
      <c r="X87" s="55" t="s">
        <v>15</v>
      </c>
    </row>
    <row r="88" spans="16:24">
      <c r="P88" t="s">
        <v>582</v>
      </c>
      <c r="Q88" s="23" t="s">
        <v>587</v>
      </c>
      <c r="R88" s="14">
        <v>30</v>
      </c>
      <c r="S88" s="14" t="s">
        <v>15</v>
      </c>
      <c r="U88" s="55" t="s">
        <v>51</v>
      </c>
      <c r="V88" s="33" t="s">
        <v>516</v>
      </c>
      <c r="W88" s="55">
        <v>30</v>
      </c>
      <c r="X88" s="55" t="s">
        <v>15</v>
      </c>
    </row>
    <row r="89" spans="16:24">
      <c r="P89" s="23"/>
      <c r="Q89" s="23"/>
      <c r="R89" s="14"/>
      <c r="S89" s="14"/>
      <c r="U89" s="55" t="s">
        <v>129</v>
      </c>
      <c r="V89" s="55" t="s">
        <v>250</v>
      </c>
      <c r="W89" s="55">
        <v>30</v>
      </c>
      <c r="X89" s="55" t="s">
        <v>15</v>
      </c>
    </row>
    <row r="90" spans="16:24">
      <c r="P90" s="14"/>
      <c r="Q90" s="23"/>
      <c r="R90" s="14"/>
      <c r="S90" s="14"/>
      <c r="U90" s="55" t="s">
        <v>129</v>
      </c>
      <c r="V90" s="97" t="s">
        <v>264</v>
      </c>
      <c r="W90" s="55">
        <v>30</v>
      </c>
      <c r="X90" s="55" t="s">
        <v>15</v>
      </c>
    </row>
    <row r="91" spans="16:24">
      <c r="P91" s="23" t="s">
        <v>56</v>
      </c>
      <c r="Q91" s="23" t="s">
        <v>446</v>
      </c>
      <c r="R91" s="14">
        <v>60</v>
      </c>
      <c r="S91" s="14" t="s">
        <v>15</v>
      </c>
      <c r="U91" s="55" t="s">
        <v>129</v>
      </c>
      <c r="V91" s="97" t="s">
        <v>272</v>
      </c>
      <c r="W91" s="55">
        <v>30</v>
      </c>
      <c r="X91" s="55" t="s">
        <v>15</v>
      </c>
    </row>
    <row r="92" spans="16:24">
      <c r="P92" s="14" t="s">
        <v>57</v>
      </c>
      <c r="Q92" s="23"/>
      <c r="R92" s="14" t="s">
        <v>353</v>
      </c>
      <c r="S92" s="14" t="s">
        <v>353</v>
      </c>
      <c r="U92" s="55" t="s">
        <v>129</v>
      </c>
      <c r="V92" s="97" t="s">
        <v>281</v>
      </c>
      <c r="W92" s="55">
        <v>30</v>
      </c>
      <c r="X92" s="55" t="s">
        <v>15</v>
      </c>
    </row>
    <row r="93" spans="16:24">
      <c r="P93" s="14" t="s">
        <v>12</v>
      </c>
      <c r="Q93" s="23" t="s">
        <v>451</v>
      </c>
      <c r="R93" s="14">
        <v>60</v>
      </c>
      <c r="S93" s="14" t="s">
        <v>15</v>
      </c>
      <c r="U93" s="55" t="s">
        <v>52</v>
      </c>
      <c r="V93" s="55" t="s">
        <v>96</v>
      </c>
      <c r="W93" s="55">
        <v>30</v>
      </c>
      <c r="X93" s="55" t="s">
        <v>15</v>
      </c>
    </row>
    <row r="94" spans="16:24">
      <c r="P94" s="14" t="s">
        <v>186</v>
      </c>
      <c r="Q94" s="23" t="s">
        <v>254</v>
      </c>
      <c r="R94" s="14">
        <v>30</v>
      </c>
      <c r="S94" s="14" t="s">
        <v>15</v>
      </c>
      <c r="U94" s="55" t="s">
        <v>52</v>
      </c>
      <c r="V94" s="55" t="s">
        <v>133</v>
      </c>
      <c r="W94" s="55">
        <v>30</v>
      </c>
      <c r="X94" s="55" t="s">
        <v>15</v>
      </c>
    </row>
    <row r="95" spans="16:24">
      <c r="P95" s="14" t="s">
        <v>168</v>
      </c>
      <c r="Q95" s="23" t="s">
        <v>469</v>
      </c>
      <c r="R95" s="14">
        <v>30</v>
      </c>
      <c r="S95" s="14" t="s">
        <v>15</v>
      </c>
      <c r="U95" s="55" t="s">
        <v>52</v>
      </c>
      <c r="V95" s="55" t="s">
        <v>97</v>
      </c>
      <c r="W95" s="55">
        <v>30</v>
      </c>
      <c r="X95" s="55" t="s">
        <v>15</v>
      </c>
    </row>
    <row r="96" spans="16:24">
      <c r="P96" s="14" t="s">
        <v>58</v>
      </c>
      <c r="Q96" s="23" t="s">
        <v>610</v>
      </c>
      <c r="R96" s="14">
        <v>60</v>
      </c>
      <c r="S96" s="14" t="s">
        <v>15</v>
      </c>
      <c r="U96" s="55" t="s">
        <v>52</v>
      </c>
      <c r="V96" s="55" t="s">
        <v>98</v>
      </c>
      <c r="W96" s="55">
        <v>30</v>
      </c>
      <c r="X96" s="55" t="s">
        <v>15</v>
      </c>
    </row>
    <row r="97" spans="16:24">
      <c r="P97" s="14"/>
      <c r="Q97" s="23"/>
      <c r="R97" s="14"/>
      <c r="S97" s="14"/>
      <c r="U97" s="55" t="s">
        <v>52</v>
      </c>
      <c r="V97" s="55" t="s">
        <v>99</v>
      </c>
      <c r="W97" s="55">
        <v>30</v>
      </c>
      <c r="X97" s="55" t="s">
        <v>15</v>
      </c>
    </row>
    <row r="98" spans="16:24">
      <c r="P98" s="14"/>
      <c r="Q98" s="23"/>
      <c r="R98" s="14"/>
      <c r="S98" s="14"/>
      <c r="U98" s="55" t="s">
        <v>52</v>
      </c>
      <c r="V98" s="55" t="s">
        <v>100</v>
      </c>
      <c r="W98" s="55">
        <v>30</v>
      </c>
      <c r="X98" s="55" t="s">
        <v>15</v>
      </c>
    </row>
    <row r="99" spans="16:24">
      <c r="P99" s="14"/>
      <c r="Q99" s="23"/>
      <c r="R99" s="14"/>
      <c r="S99" s="14"/>
      <c r="U99" s="55" t="s">
        <v>52</v>
      </c>
      <c r="V99" s="55" t="s">
        <v>101</v>
      </c>
      <c r="W99" s="55">
        <v>30</v>
      </c>
      <c r="X99" s="55" t="s">
        <v>15</v>
      </c>
    </row>
    <row r="100" spans="16:24">
      <c r="P100" s="14"/>
      <c r="U100" s="55" t="s">
        <v>52</v>
      </c>
      <c r="V100" s="97" t="s">
        <v>309</v>
      </c>
      <c r="W100" s="55">
        <v>30</v>
      </c>
      <c r="X100" s="55" t="s">
        <v>15</v>
      </c>
    </row>
    <row r="101" spans="16:24">
      <c r="P101" s="14" t="s">
        <v>187</v>
      </c>
      <c r="Q101" s="23" t="s">
        <v>254</v>
      </c>
      <c r="R101" s="14">
        <v>30</v>
      </c>
      <c r="S101" s="14" t="s">
        <v>15</v>
      </c>
      <c r="U101" s="55" t="s">
        <v>52</v>
      </c>
      <c r="V101" s="97" t="s">
        <v>314</v>
      </c>
      <c r="W101" s="55">
        <v>30</v>
      </c>
      <c r="X101" s="55" t="s">
        <v>15</v>
      </c>
    </row>
    <row r="102" spans="16:24">
      <c r="P102" s="14" t="s">
        <v>188</v>
      </c>
      <c r="Q102" s="23"/>
      <c r="R102" s="14" t="s">
        <v>353</v>
      </c>
      <c r="S102" s="14" t="s">
        <v>353</v>
      </c>
      <c r="U102" s="55" t="s">
        <v>52</v>
      </c>
      <c r="V102" s="97" t="s">
        <v>319</v>
      </c>
      <c r="W102" s="55">
        <v>30</v>
      </c>
      <c r="X102" s="55" t="s">
        <v>15</v>
      </c>
    </row>
    <row r="103" spans="16:24">
      <c r="P103" s="14" t="s">
        <v>189</v>
      </c>
      <c r="Q103" s="23" t="s">
        <v>254</v>
      </c>
      <c r="R103" s="14">
        <v>30</v>
      </c>
      <c r="S103" s="14" t="s">
        <v>15</v>
      </c>
      <c r="U103" s="55" t="s">
        <v>52</v>
      </c>
      <c r="V103" s="97" t="s">
        <v>322</v>
      </c>
      <c r="W103" s="55">
        <v>30</v>
      </c>
      <c r="X103" s="55" t="s">
        <v>15</v>
      </c>
    </row>
    <row r="104" spans="16:24">
      <c r="P104" s="14" t="s">
        <v>59</v>
      </c>
      <c r="Q104" s="23" t="s">
        <v>127</v>
      </c>
      <c r="R104" s="14">
        <v>30</v>
      </c>
      <c r="S104" s="14" t="s">
        <v>15</v>
      </c>
      <c r="U104" s="55" t="s">
        <v>52</v>
      </c>
      <c r="V104" s="54" t="s">
        <v>417</v>
      </c>
      <c r="W104" s="97">
        <v>60</v>
      </c>
      <c r="X104" s="55" t="s">
        <v>15</v>
      </c>
    </row>
    <row r="105" spans="16:24">
      <c r="P105" s="57" t="s">
        <v>620</v>
      </c>
      <c r="Q105" s="23" t="s">
        <v>127</v>
      </c>
      <c r="R105" s="14">
        <v>30</v>
      </c>
      <c r="S105" s="14" t="s">
        <v>15</v>
      </c>
      <c r="U105" s="55" t="s">
        <v>52</v>
      </c>
      <c r="V105" s="54" t="s">
        <v>418</v>
      </c>
      <c r="W105" s="97">
        <v>60</v>
      </c>
      <c r="X105" s="55" t="s">
        <v>15</v>
      </c>
    </row>
    <row r="106" spans="16:24">
      <c r="P106" s="57" t="s">
        <v>621</v>
      </c>
      <c r="Q106" s="23" t="s">
        <v>127</v>
      </c>
      <c r="R106" s="14">
        <v>30</v>
      </c>
      <c r="S106" s="14" t="s">
        <v>15</v>
      </c>
      <c r="U106" s="55" t="s">
        <v>52</v>
      </c>
      <c r="V106" s="54" t="s">
        <v>419</v>
      </c>
      <c r="W106" s="97">
        <v>60</v>
      </c>
      <c r="X106" s="55" t="s">
        <v>15</v>
      </c>
    </row>
    <row r="107" spans="16:24">
      <c r="P107" s="14" t="s">
        <v>60</v>
      </c>
      <c r="Q107" s="23" t="s">
        <v>82</v>
      </c>
      <c r="R107" s="14">
        <v>30</v>
      </c>
      <c r="S107" s="14" t="s">
        <v>15</v>
      </c>
      <c r="U107" s="55" t="s">
        <v>52</v>
      </c>
      <c r="V107" s="54" t="s">
        <v>420</v>
      </c>
      <c r="W107" s="97">
        <v>30</v>
      </c>
      <c r="X107" s="55" t="s">
        <v>15</v>
      </c>
    </row>
    <row r="108" spans="16:24">
      <c r="P108" s="33" t="s">
        <v>146</v>
      </c>
      <c r="Q108" s="23" t="s">
        <v>390</v>
      </c>
      <c r="R108" s="23">
        <v>30</v>
      </c>
      <c r="S108" s="23" t="s">
        <v>15</v>
      </c>
      <c r="U108" s="55" t="s">
        <v>52</v>
      </c>
      <c r="V108" s="54" t="s">
        <v>421</v>
      </c>
      <c r="W108" s="97">
        <v>30</v>
      </c>
      <c r="X108" s="55" t="s">
        <v>15</v>
      </c>
    </row>
    <row r="109" spans="16:24">
      <c r="U109" s="55" t="s">
        <v>52</v>
      </c>
      <c r="V109" s="124" t="s">
        <v>519</v>
      </c>
      <c r="W109" s="101">
        <v>60</v>
      </c>
      <c r="X109" s="55" t="s">
        <v>15</v>
      </c>
    </row>
    <row r="110" spans="16:24">
      <c r="U110" s="55" t="s">
        <v>52</v>
      </c>
      <c r="V110" s="124" t="s">
        <v>523</v>
      </c>
      <c r="W110" s="101">
        <v>60</v>
      </c>
      <c r="X110" s="55" t="s">
        <v>15</v>
      </c>
    </row>
    <row r="111" spans="16:24">
      <c r="U111" s="55" t="s">
        <v>52</v>
      </c>
      <c r="V111" s="124" t="s">
        <v>524</v>
      </c>
      <c r="W111" s="101">
        <v>60</v>
      </c>
      <c r="X111" s="55" t="s">
        <v>15</v>
      </c>
    </row>
    <row r="112" spans="16:24">
      <c r="U112" s="55" t="s">
        <v>52</v>
      </c>
      <c r="V112" s="124" t="s">
        <v>525</v>
      </c>
      <c r="W112" s="101">
        <v>60</v>
      </c>
      <c r="X112" s="55" t="s">
        <v>15</v>
      </c>
    </row>
    <row r="113" spans="16:24">
      <c r="P113" s="14" t="s">
        <v>50</v>
      </c>
      <c r="Q113" s="23" t="s">
        <v>412</v>
      </c>
      <c r="R113" s="23">
        <v>30</v>
      </c>
      <c r="S113" s="23" t="s">
        <v>15</v>
      </c>
      <c r="U113" s="55" t="s">
        <v>52</v>
      </c>
      <c r="V113" s="124" t="s">
        <v>526</v>
      </c>
      <c r="W113" s="101">
        <v>60</v>
      </c>
      <c r="X113" s="55" t="s">
        <v>15</v>
      </c>
    </row>
    <row r="114" spans="16:24">
      <c r="P114" s="14" t="s">
        <v>180</v>
      </c>
      <c r="Q114" s="23" t="s">
        <v>280</v>
      </c>
      <c r="R114" s="23">
        <v>60</v>
      </c>
      <c r="S114" s="23" t="s">
        <v>15</v>
      </c>
      <c r="U114" s="55" t="s">
        <v>52</v>
      </c>
      <c r="V114" s="124" t="s">
        <v>527</v>
      </c>
      <c r="W114" s="101">
        <v>60</v>
      </c>
      <c r="X114" s="55" t="s">
        <v>15</v>
      </c>
    </row>
    <row r="115" spans="16:24">
      <c r="P115" s="14" t="s">
        <v>181</v>
      </c>
      <c r="Q115" s="23" t="s">
        <v>279</v>
      </c>
      <c r="R115" s="14">
        <v>60</v>
      </c>
      <c r="S115" s="14" t="s">
        <v>15</v>
      </c>
      <c r="U115" s="55" t="s">
        <v>52</v>
      </c>
      <c r="V115" s="124" t="s">
        <v>522</v>
      </c>
      <c r="W115" s="97">
        <v>30</v>
      </c>
      <c r="X115" s="55" t="s">
        <v>15</v>
      </c>
    </row>
    <row r="116" spans="16:24" ht="15" customHeight="1">
      <c r="P116" s="14" t="s">
        <v>182</v>
      </c>
      <c r="Q116" s="23" t="s">
        <v>297</v>
      </c>
      <c r="R116" s="23">
        <v>60</v>
      </c>
      <c r="S116" s="14" t="s">
        <v>15</v>
      </c>
      <c r="U116" s="55" t="s">
        <v>52</v>
      </c>
      <c r="V116" s="125" t="s">
        <v>528</v>
      </c>
      <c r="W116" s="97">
        <v>30</v>
      </c>
      <c r="X116" s="55" t="s">
        <v>15</v>
      </c>
    </row>
    <row r="117" spans="16:24">
      <c r="P117" s="14" t="s">
        <v>183</v>
      </c>
      <c r="Q117" s="23" t="s">
        <v>295</v>
      </c>
      <c r="R117" s="23">
        <v>60</v>
      </c>
      <c r="S117" s="14" t="s">
        <v>15</v>
      </c>
      <c r="U117" s="55" t="s">
        <v>53</v>
      </c>
      <c r="V117" s="97" t="s">
        <v>20</v>
      </c>
      <c r="W117" s="55">
        <v>30</v>
      </c>
      <c r="X117" s="55" t="s">
        <v>15</v>
      </c>
    </row>
    <row r="118" spans="16:24">
      <c r="P118" s="14" t="s">
        <v>184</v>
      </c>
      <c r="Q118" s="23" t="s">
        <v>339</v>
      </c>
      <c r="R118" s="23">
        <v>60</v>
      </c>
      <c r="S118" s="14" t="s">
        <v>15</v>
      </c>
      <c r="U118" s="55" t="s">
        <v>53</v>
      </c>
      <c r="V118" s="55" t="s">
        <v>21</v>
      </c>
      <c r="W118" s="55">
        <v>30</v>
      </c>
      <c r="X118" s="55" t="s">
        <v>15</v>
      </c>
    </row>
    <row r="119" spans="16:24">
      <c r="P119" s="14" t="s">
        <v>185</v>
      </c>
      <c r="Q119" s="23" t="s">
        <v>296</v>
      </c>
      <c r="R119" s="23">
        <v>60</v>
      </c>
      <c r="S119" s="14" t="s">
        <v>15</v>
      </c>
      <c r="U119" s="55" t="s">
        <v>53</v>
      </c>
      <c r="V119" s="55" t="s">
        <v>22</v>
      </c>
      <c r="W119" s="55">
        <v>30</v>
      </c>
      <c r="X119" s="55" t="s">
        <v>15</v>
      </c>
    </row>
    <row r="120" spans="16:24">
      <c r="P120" s="14" t="s">
        <v>52</v>
      </c>
      <c r="Q120" s="33" t="s">
        <v>309</v>
      </c>
      <c r="R120">
        <v>30</v>
      </c>
      <c r="S120" s="33" t="s">
        <v>15</v>
      </c>
      <c r="U120" s="55" t="s">
        <v>53</v>
      </c>
      <c r="V120" s="55" t="s">
        <v>282</v>
      </c>
      <c r="W120" s="55">
        <v>30</v>
      </c>
      <c r="X120" s="55" t="s">
        <v>15</v>
      </c>
    </row>
    <row r="121" spans="16:24">
      <c r="P121" s="14" t="s">
        <v>54</v>
      </c>
      <c r="Q121" s="23" t="s">
        <v>356</v>
      </c>
      <c r="R121" s="14">
        <v>30</v>
      </c>
      <c r="S121" s="14" t="s">
        <v>15</v>
      </c>
      <c r="U121" s="55" t="s">
        <v>53</v>
      </c>
      <c r="V121" s="55" t="s">
        <v>24</v>
      </c>
      <c r="W121" s="55">
        <v>30</v>
      </c>
      <c r="X121" s="55" t="s">
        <v>15</v>
      </c>
    </row>
    <row r="122" spans="16:24">
      <c r="P122" s="133" t="s">
        <v>647</v>
      </c>
      <c r="Q122" s="23" t="s">
        <v>356</v>
      </c>
      <c r="R122" s="14">
        <v>30</v>
      </c>
      <c r="S122" s="14" t="s">
        <v>15</v>
      </c>
      <c r="U122" s="55"/>
      <c r="V122" s="55"/>
      <c r="W122" s="55"/>
      <c r="X122" s="55"/>
    </row>
    <row r="123" spans="16:24">
      <c r="P123" s="133" t="s">
        <v>648</v>
      </c>
      <c r="Q123" s="23" t="s">
        <v>341</v>
      </c>
      <c r="R123" s="14">
        <v>30</v>
      </c>
      <c r="S123" s="14" t="s">
        <v>25</v>
      </c>
      <c r="U123" s="55"/>
      <c r="V123" s="55"/>
      <c r="W123" s="55"/>
      <c r="X123" s="55"/>
    </row>
    <row r="124" spans="16:24">
      <c r="P124" s="133" t="s">
        <v>649</v>
      </c>
      <c r="Q124" s="23" t="s">
        <v>356</v>
      </c>
      <c r="R124" s="14">
        <v>30</v>
      </c>
      <c r="S124" s="14" t="s">
        <v>15</v>
      </c>
      <c r="U124" s="55"/>
      <c r="V124" s="55"/>
      <c r="W124" s="55"/>
      <c r="X124" s="55"/>
    </row>
    <row r="125" spans="16:24">
      <c r="P125" s="133" t="s">
        <v>650</v>
      </c>
      <c r="Q125" s="23" t="s">
        <v>356</v>
      </c>
      <c r="R125" s="14">
        <v>30</v>
      </c>
      <c r="S125" s="14" t="s">
        <v>15</v>
      </c>
      <c r="U125" s="55"/>
      <c r="V125" s="55"/>
      <c r="W125" s="55"/>
      <c r="X125" s="55"/>
    </row>
    <row r="126" spans="16:24">
      <c r="P126" s="14" t="s">
        <v>55</v>
      </c>
      <c r="Q126" s="23" t="s">
        <v>357</v>
      </c>
      <c r="R126" s="14">
        <v>30</v>
      </c>
      <c r="S126" s="14" t="s">
        <v>25</v>
      </c>
      <c r="U126" s="55" t="s">
        <v>53</v>
      </c>
      <c r="V126" s="97" t="s">
        <v>43</v>
      </c>
      <c r="W126" s="55">
        <v>60</v>
      </c>
      <c r="X126" s="55" t="s">
        <v>15</v>
      </c>
    </row>
    <row r="127" spans="16:24">
      <c r="P127" t="s">
        <v>581</v>
      </c>
      <c r="Q127" s="23" t="s">
        <v>588</v>
      </c>
      <c r="R127" s="23">
        <v>60</v>
      </c>
      <c r="S127" s="14" t="s">
        <v>15</v>
      </c>
      <c r="U127" s="55" t="s">
        <v>53</v>
      </c>
      <c r="V127" s="55" t="s">
        <v>44</v>
      </c>
      <c r="W127" s="55">
        <v>60</v>
      </c>
      <c r="X127" s="55" t="s">
        <v>15</v>
      </c>
    </row>
    <row r="128" spans="16:24">
      <c r="P128" t="s">
        <v>582</v>
      </c>
      <c r="Q128" s="23" t="s">
        <v>589</v>
      </c>
      <c r="R128" s="23">
        <v>60</v>
      </c>
      <c r="S128" s="14" t="s">
        <v>15</v>
      </c>
      <c r="U128" s="55" t="s">
        <v>53</v>
      </c>
      <c r="V128" s="55" t="s">
        <v>45</v>
      </c>
      <c r="W128" s="55">
        <v>60</v>
      </c>
      <c r="X128" s="55" t="s">
        <v>15</v>
      </c>
    </row>
    <row r="129" spans="16:24">
      <c r="P129" s="14" t="s">
        <v>186</v>
      </c>
      <c r="Q129" s="23" t="s">
        <v>610</v>
      </c>
      <c r="R129" s="23">
        <v>60</v>
      </c>
      <c r="S129" s="23" t="s">
        <v>15</v>
      </c>
      <c r="U129" s="55" t="s">
        <v>53</v>
      </c>
      <c r="V129" s="55" t="s">
        <v>287</v>
      </c>
      <c r="W129" s="55">
        <v>30</v>
      </c>
      <c r="X129" s="55" t="s">
        <v>15</v>
      </c>
    </row>
    <row r="130" spans="16:24">
      <c r="P130" s="14" t="s">
        <v>187</v>
      </c>
      <c r="Q130" s="23" t="s">
        <v>610</v>
      </c>
      <c r="R130" s="23">
        <v>60</v>
      </c>
      <c r="S130" s="23" t="s">
        <v>15</v>
      </c>
      <c r="U130" s="55" t="s">
        <v>53</v>
      </c>
      <c r="V130" s="55" t="s">
        <v>47</v>
      </c>
      <c r="W130" s="55">
        <v>30</v>
      </c>
      <c r="X130" s="55" t="s">
        <v>15</v>
      </c>
    </row>
    <row r="131" spans="16:24">
      <c r="P131" s="14" t="s">
        <v>189</v>
      </c>
      <c r="Q131" s="23" t="s">
        <v>610</v>
      </c>
      <c r="R131" s="23">
        <v>60</v>
      </c>
      <c r="S131" s="23" t="s">
        <v>15</v>
      </c>
      <c r="U131" s="55" t="s">
        <v>53</v>
      </c>
      <c r="V131" s="55" t="s">
        <v>48</v>
      </c>
      <c r="W131" s="55">
        <v>30</v>
      </c>
      <c r="X131" s="55" t="s">
        <v>15</v>
      </c>
    </row>
    <row r="132" spans="16:24">
      <c r="P132" s="14" t="s">
        <v>59</v>
      </c>
      <c r="Q132" s="14" t="s">
        <v>347</v>
      </c>
      <c r="R132" s="14">
        <v>30</v>
      </c>
      <c r="S132" s="14" t="s">
        <v>25</v>
      </c>
      <c r="U132" s="55" t="s">
        <v>53</v>
      </c>
      <c r="V132" s="97" t="s">
        <v>360</v>
      </c>
      <c r="W132" s="97">
        <v>30</v>
      </c>
      <c r="X132" s="55" t="s">
        <v>15</v>
      </c>
    </row>
    <row r="133" spans="16:24">
      <c r="P133" s="57" t="s">
        <v>620</v>
      </c>
      <c r="Q133" s="14" t="s">
        <v>347</v>
      </c>
      <c r="R133" s="14">
        <v>30</v>
      </c>
      <c r="S133" s="14" t="s">
        <v>25</v>
      </c>
      <c r="U133" s="55" t="s">
        <v>53</v>
      </c>
      <c r="V133" s="54" t="s">
        <v>536</v>
      </c>
      <c r="W133" s="55">
        <v>30</v>
      </c>
      <c r="X133" s="55" t="s">
        <v>15</v>
      </c>
    </row>
    <row r="134" spans="16:24">
      <c r="P134" s="57" t="s">
        <v>621</v>
      </c>
      <c r="Q134" s="14" t="s">
        <v>347</v>
      </c>
      <c r="R134" s="14">
        <v>30</v>
      </c>
      <c r="S134" s="14" t="s">
        <v>25</v>
      </c>
      <c r="U134" s="55" t="s">
        <v>53</v>
      </c>
      <c r="V134" s="54" t="s">
        <v>537</v>
      </c>
      <c r="W134" s="55">
        <v>30</v>
      </c>
      <c r="X134" s="55" t="s">
        <v>15</v>
      </c>
    </row>
    <row r="135" spans="16:24">
      <c r="P135" s="14" t="s">
        <v>60</v>
      </c>
      <c r="Q135" s="14" t="s">
        <v>359</v>
      </c>
      <c r="R135" s="14">
        <v>30</v>
      </c>
      <c r="S135" s="14" t="s">
        <v>25</v>
      </c>
      <c r="U135" s="55" t="s">
        <v>53</v>
      </c>
      <c r="V135" s="54" t="s">
        <v>538</v>
      </c>
      <c r="W135" s="97">
        <v>30</v>
      </c>
      <c r="X135" s="55" t="s">
        <v>15</v>
      </c>
    </row>
    <row r="136" spans="16:24">
      <c r="P136" s="14"/>
      <c r="Q136" s="23"/>
      <c r="R136" s="23"/>
      <c r="S136" s="23"/>
      <c r="U136" s="55" t="s">
        <v>53</v>
      </c>
      <c r="V136" s="120" t="s">
        <v>531</v>
      </c>
      <c r="W136" s="97">
        <v>60</v>
      </c>
      <c r="X136" s="55" t="s">
        <v>15</v>
      </c>
    </row>
    <row r="137" spans="16:24">
      <c r="P137" s="14"/>
      <c r="Q137" s="23"/>
      <c r="R137" s="23"/>
      <c r="S137" s="23"/>
      <c r="U137" s="55" t="s">
        <v>53</v>
      </c>
      <c r="V137" s="120" t="s">
        <v>532</v>
      </c>
      <c r="W137" s="97">
        <v>60</v>
      </c>
      <c r="X137" s="55" t="s">
        <v>15</v>
      </c>
    </row>
    <row r="138" spans="16:24">
      <c r="P138" s="14"/>
      <c r="Q138" s="23"/>
      <c r="R138" s="23"/>
      <c r="S138" s="23"/>
      <c r="U138" s="55" t="s">
        <v>53</v>
      </c>
      <c r="V138" s="120" t="s">
        <v>530</v>
      </c>
      <c r="W138" s="97">
        <v>60</v>
      </c>
      <c r="X138" s="55" t="s">
        <v>15</v>
      </c>
    </row>
    <row r="139" spans="16:24">
      <c r="P139" s="33" t="s">
        <v>146</v>
      </c>
      <c r="Q139" s="23" t="s">
        <v>391</v>
      </c>
      <c r="R139" s="23">
        <v>30</v>
      </c>
      <c r="S139" s="23" t="s">
        <v>15</v>
      </c>
      <c r="U139" s="55" t="s">
        <v>53</v>
      </c>
      <c r="V139" s="120" t="s">
        <v>529</v>
      </c>
      <c r="W139" s="97">
        <v>60</v>
      </c>
      <c r="X139" s="55" t="s">
        <v>15</v>
      </c>
    </row>
    <row r="140" spans="16:24">
      <c r="U140" s="55" t="s">
        <v>54</v>
      </c>
      <c r="V140" s="55" t="s">
        <v>102</v>
      </c>
      <c r="W140" s="55">
        <v>30</v>
      </c>
      <c r="X140" s="55" t="s">
        <v>15</v>
      </c>
    </row>
    <row r="141" spans="16:24">
      <c r="P141" s="57" t="s">
        <v>621</v>
      </c>
      <c r="Q141" t="s">
        <v>301</v>
      </c>
      <c r="R141" s="23">
        <v>30</v>
      </c>
      <c r="S141" s="23" t="s">
        <v>15</v>
      </c>
      <c r="U141" s="55" t="s">
        <v>54</v>
      </c>
      <c r="V141" s="55" t="s">
        <v>103</v>
      </c>
      <c r="W141" s="55">
        <v>30</v>
      </c>
      <c r="X141" s="55" t="s">
        <v>15</v>
      </c>
    </row>
    <row r="142" spans="16:24">
      <c r="P142" s="14" t="s">
        <v>180</v>
      </c>
      <c r="Q142" t="s">
        <v>412</v>
      </c>
      <c r="R142" s="102">
        <v>30</v>
      </c>
      <c r="S142" s="102" t="s">
        <v>15</v>
      </c>
      <c r="U142" s="55" t="s">
        <v>54</v>
      </c>
      <c r="V142" s="55" t="s">
        <v>104</v>
      </c>
      <c r="W142" s="55">
        <v>30</v>
      </c>
      <c r="X142" s="55" t="s">
        <v>15</v>
      </c>
    </row>
    <row r="143" spans="16:24">
      <c r="P143" s="14" t="s">
        <v>181</v>
      </c>
      <c r="Q143" t="s">
        <v>500</v>
      </c>
      <c r="R143" s="102">
        <v>60</v>
      </c>
      <c r="S143" s="102" t="s">
        <v>15</v>
      </c>
      <c r="U143" s="55" t="s">
        <v>54</v>
      </c>
      <c r="V143" s="55" t="s">
        <v>105</v>
      </c>
      <c r="W143" s="55">
        <v>30</v>
      </c>
      <c r="X143" s="55" t="s">
        <v>15</v>
      </c>
    </row>
    <row r="144" spans="16:24">
      <c r="P144" s="14" t="s">
        <v>182</v>
      </c>
      <c r="Q144" t="s">
        <v>412</v>
      </c>
      <c r="R144" s="102">
        <v>30</v>
      </c>
      <c r="S144" s="102" t="s">
        <v>15</v>
      </c>
      <c r="U144" s="55" t="s">
        <v>54</v>
      </c>
      <c r="V144" s="55" t="s">
        <v>106</v>
      </c>
      <c r="W144" s="55">
        <v>60</v>
      </c>
      <c r="X144" s="55" t="s">
        <v>15</v>
      </c>
    </row>
    <row r="145" spans="16:24">
      <c r="P145" s="14" t="s">
        <v>183</v>
      </c>
      <c r="Q145" t="s">
        <v>412</v>
      </c>
      <c r="R145" s="102">
        <v>30</v>
      </c>
      <c r="S145" s="102" t="s">
        <v>15</v>
      </c>
      <c r="U145" s="55" t="s">
        <v>54</v>
      </c>
      <c r="V145" s="55" t="s">
        <v>107</v>
      </c>
      <c r="W145" s="55">
        <v>60</v>
      </c>
      <c r="X145" s="55" t="s">
        <v>15</v>
      </c>
    </row>
    <row r="146" spans="16:24">
      <c r="P146" s="14" t="s">
        <v>184</v>
      </c>
      <c r="Q146" t="s">
        <v>412</v>
      </c>
      <c r="R146" s="102">
        <v>30</v>
      </c>
      <c r="S146" s="102" t="s">
        <v>15</v>
      </c>
      <c r="U146" s="55" t="s">
        <v>54</v>
      </c>
      <c r="V146" s="97" t="s">
        <v>304</v>
      </c>
      <c r="W146" s="55">
        <v>30</v>
      </c>
      <c r="X146" s="55" t="s">
        <v>15</v>
      </c>
    </row>
    <row r="147" spans="16:24">
      <c r="P147" s="14" t="s">
        <v>185</v>
      </c>
      <c r="Q147" t="s">
        <v>412</v>
      </c>
      <c r="R147" s="102">
        <v>30</v>
      </c>
      <c r="S147" s="102" t="s">
        <v>15</v>
      </c>
      <c r="U147" s="55" t="s">
        <v>54</v>
      </c>
      <c r="V147" s="97" t="s">
        <v>310</v>
      </c>
      <c r="W147" s="55">
        <v>60</v>
      </c>
      <c r="X147" s="55" t="s">
        <v>15</v>
      </c>
    </row>
    <row r="148" spans="16:24">
      <c r="P148" s="133" t="s">
        <v>648</v>
      </c>
      <c r="Q148" s="23" t="s">
        <v>356</v>
      </c>
      <c r="R148" s="14">
        <v>30</v>
      </c>
      <c r="S148" s="14" t="s">
        <v>15</v>
      </c>
      <c r="U148" s="55"/>
      <c r="V148" s="97"/>
      <c r="W148" s="55"/>
      <c r="X148" s="55"/>
    </row>
    <row r="149" spans="16:24">
      <c r="P149" s="121"/>
      <c r="U149" s="55" t="s">
        <v>54</v>
      </c>
      <c r="V149" s="97" t="s">
        <v>315</v>
      </c>
      <c r="W149" s="55">
        <v>30</v>
      </c>
      <c r="X149" s="55" t="s">
        <v>15</v>
      </c>
    </row>
    <row r="150" spans="16:24">
      <c r="P150" s="57" t="s">
        <v>621</v>
      </c>
      <c r="Q150" t="s">
        <v>308</v>
      </c>
      <c r="R150" s="23">
        <v>30</v>
      </c>
      <c r="S150" s="23" t="s">
        <v>15</v>
      </c>
      <c r="U150" s="55" t="s">
        <v>54</v>
      </c>
      <c r="V150" s="97" t="s">
        <v>320</v>
      </c>
      <c r="W150" s="55">
        <v>30</v>
      </c>
      <c r="X150" s="55" t="s">
        <v>15</v>
      </c>
    </row>
    <row r="151" spans="16:24">
      <c r="P151" s="14" t="s">
        <v>181</v>
      </c>
      <c r="Q151" t="s">
        <v>412</v>
      </c>
      <c r="R151" s="102">
        <v>30</v>
      </c>
      <c r="S151" s="102" t="s">
        <v>15</v>
      </c>
      <c r="U151" s="55" t="s">
        <v>54</v>
      </c>
      <c r="V151" s="54" t="s">
        <v>427</v>
      </c>
      <c r="W151" s="55">
        <v>60</v>
      </c>
      <c r="X151" s="55" t="s">
        <v>15</v>
      </c>
    </row>
    <row r="152" spans="16:24">
      <c r="U152" s="55" t="s">
        <v>54</v>
      </c>
      <c r="V152" s="54" t="s">
        <v>425</v>
      </c>
      <c r="W152" s="55">
        <v>30</v>
      </c>
      <c r="X152" s="55" t="s">
        <v>15</v>
      </c>
    </row>
    <row r="153" spans="16:24">
      <c r="P153" s="57" t="s">
        <v>621</v>
      </c>
      <c r="Q153" t="s">
        <v>623</v>
      </c>
      <c r="R153" s="23">
        <v>60</v>
      </c>
      <c r="S153" s="23" t="s">
        <v>15</v>
      </c>
      <c r="U153" s="55" t="s">
        <v>54</v>
      </c>
      <c r="V153" s="54" t="s">
        <v>428</v>
      </c>
      <c r="W153" s="55">
        <v>60</v>
      </c>
      <c r="X153" s="55" t="s">
        <v>15</v>
      </c>
    </row>
    <row r="154" spans="16:24">
      <c r="U154" s="55" t="s">
        <v>54</v>
      </c>
      <c r="V154" s="54" t="s">
        <v>426</v>
      </c>
      <c r="W154" s="55">
        <v>60</v>
      </c>
      <c r="X154" s="55" t="s">
        <v>15</v>
      </c>
    </row>
    <row r="155" spans="16:24">
      <c r="P155" s="33" t="s">
        <v>146</v>
      </c>
      <c r="Q155" t="s">
        <v>395</v>
      </c>
      <c r="R155" s="23">
        <v>30</v>
      </c>
      <c r="S155" s="23" t="s">
        <v>15</v>
      </c>
      <c r="U155" s="55" t="s">
        <v>54</v>
      </c>
      <c r="V155" s="54" t="s">
        <v>429</v>
      </c>
      <c r="W155" s="55">
        <v>30</v>
      </c>
      <c r="X155" s="55" t="s">
        <v>15</v>
      </c>
    </row>
    <row r="156" spans="16:24">
      <c r="U156" s="55" t="s">
        <v>54</v>
      </c>
      <c r="V156" s="54" t="s">
        <v>430</v>
      </c>
      <c r="W156" s="55">
        <v>60</v>
      </c>
      <c r="X156" s="55" t="s">
        <v>15</v>
      </c>
    </row>
    <row r="157" spans="16:24">
      <c r="U157" s="55" t="s">
        <v>54</v>
      </c>
      <c r="V157" s="120" t="s">
        <v>541</v>
      </c>
      <c r="W157" s="55">
        <v>60</v>
      </c>
      <c r="X157" s="55" t="s">
        <v>15</v>
      </c>
    </row>
    <row r="158" spans="16:24">
      <c r="U158" s="55" t="s">
        <v>54</v>
      </c>
      <c r="V158" s="120" t="s">
        <v>542</v>
      </c>
      <c r="W158" s="55">
        <v>60</v>
      </c>
      <c r="X158" s="55" t="s">
        <v>15</v>
      </c>
    </row>
    <row r="159" spans="16:24" ht="15" customHeight="1">
      <c r="U159" s="55" t="s">
        <v>54</v>
      </c>
      <c r="V159" s="130" t="s">
        <v>555</v>
      </c>
      <c r="W159" s="55">
        <v>60</v>
      </c>
      <c r="X159" s="55" t="s">
        <v>15</v>
      </c>
    </row>
    <row r="160" spans="16:24" ht="15" customHeight="1">
      <c r="U160" s="55" t="s">
        <v>54</v>
      </c>
      <c r="V160" s="130" t="s">
        <v>556</v>
      </c>
      <c r="W160" s="55">
        <v>60</v>
      </c>
      <c r="X160" s="55" t="s">
        <v>15</v>
      </c>
    </row>
    <row r="161" spans="17:24" ht="15" customHeight="1">
      <c r="U161" s="55" t="s">
        <v>54</v>
      </c>
      <c r="V161" s="130" t="s">
        <v>557</v>
      </c>
      <c r="W161" s="55">
        <v>60</v>
      </c>
      <c r="X161" s="55" t="s">
        <v>15</v>
      </c>
    </row>
    <row r="162" spans="17:24" ht="15" customHeight="1">
      <c r="U162" s="55" t="s">
        <v>54</v>
      </c>
      <c r="V162" s="130" t="s">
        <v>558</v>
      </c>
      <c r="W162" s="55">
        <v>60</v>
      </c>
      <c r="X162" s="55" t="s">
        <v>15</v>
      </c>
    </row>
    <row r="163" spans="17:24">
      <c r="U163" s="55" t="s">
        <v>54</v>
      </c>
      <c r="V163" s="120" t="s">
        <v>547</v>
      </c>
      <c r="W163" s="55">
        <v>60</v>
      </c>
      <c r="X163" s="55" t="s">
        <v>15</v>
      </c>
    </row>
    <row r="164" spans="17:24">
      <c r="U164" s="55" t="s">
        <v>54</v>
      </c>
      <c r="V164" s="120" t="s">
        <v>548</v>
      </c>
      <c r="W164" s="55">
        <v>60</v>
      </c>
      <c r="X164" s="55" t="s">
        <v>15</v>
      </c>
    </row>
    <row r="165" spans="17:24">
      <c r="U165" s="55" t="s">
        <v>54</v>
      </c>
      <c r="V165" s="120" t="s">
        <v>549</v>
      </c>
      <c r="W165" s="55">
        <v>60</v>
      </c>
      <c r="X165" s="55" t="s">
        <v>15</v>
      </c>
    </row>
    <row r="166" spans="17:24">
      <c r="U166" s="55" t="s">
        <v>54</v>
      </c>
      <c r="V166" s="120" t="s">
        <v>550</v>
      </c>
      <c r="W166" s="55">
        <v>30</v>
      </c>
      <c r="X166" s="55" t="s">
        <v>15</v>
      </c>
    </row>
    <row r="167" spans="17:24">
      <c r="U167" s="55" t="s">
        <v>54</v>
      </c>
      <c r="V167" s="120" t="s">
        <v>551</v>
      </c>
      <c r="W167" s="55">
        <v>30</v>
      </c>
      <c r="X167" s="55" t="s">
        <v>15</v>
      </c>
    </row>
    <row r="168" spans="17:24" ht="15" customHeight="1">
      <c r="U168" s="55" t="s">
        <v>54</v>
      </c>
      <c r="V168" s="130" t="s">
        <v>559</v>
      </c>
      <c r="W168" s="55">
        <v>30</v>
      </c>
      <c r="X168" s="55" t="s">
        <v>15</v>
      </c>
    </row>
    <row r="169" spans="17:24">
      <c r="U169" s="55" t="s">
        <v>54</v>
      </c>
      <c r="V169" s="120" t="s">
        <v>553</v>
      </c>
      <c r="W169" s="55">
        <v>60</v>
      </c>
      <c r="X169" s="55" t="s">
        <v>15</v>
      </c>
    </row>
    <row r="170" spans="17:24" ht="15" customHeight="1">
      <c r="U170" s="55" t="s">
        <v>54</v>
      </c>
      <c r="V170" s="130" t="s">
        <v>560</v>
      </c>
      <c r="W170" s="55">
        <v>60</v>
      </c>
      <c r="X170" s="55" t="s">
        <v>15</v>
      </c>
    </row>
    <row r="171" spans="17:24">
      <c r="U171" s="55" t="s">
        <v>55</v>
      </c>
      <c r="V171" s="55" t="s">
        <v>251</v>
      </c>
      <c r="W171" s="55">
        <v>30</v>
      </c>
      <c r="X171" s="55" t="s">
        <v>15</v>
      </c>
    </row>
    <row r="172" spans="17:24">
      <c r="U172" s="55" t="s">
        <v>55</v>
      </c>
      <c r="V172" s="55" t="s">
        <v>265</v>
      </c>
      <c r="W172" s="55">
        <v>30</v>
      </c>
      <c r="X172" s="55" t="s">
        <v>15</v>
      </c>
    </row>
    <row r="173" spans="17:24">
      <c r="Q173" t="s">
        <v>353</v>
      </c>
      <c r="U173" s="55" t="s">
        <v>55</v>
      </c>
      <c r="V173" s="55" t="s">
        <v>273</v>
      </c>
      <c r="W173" s="55">
        <v>30</v>
      </c>
      <c r="X173" s="55" t="s">
        <v>15</v>
      </c>
    </row>
    <row r="174" spans="17:24">
      <c r="U174" s="55" t="s">
        <v>55</v>
      </c>
      <c r="V174" s="55" t="s">
        <v>283</v>
      </c>
      <c r="W174" s="55">
        <v>30</v>
      </c>
      <c r="X174" s="55" t="s">
        <v>15</v>
      </c>
    </row>
    <row r="175" spans="17:24">
      <c r="U175" s="55" t="s">
        <v>55</v>
      </c>
      <c r="V175" s="55" t="s">
        <v>113</v>
      </c>
      <c r="W175" s="55">
        <v>30</v>
      </c>
      <c r="X175" s="55" t="s">
        <v>15</v>
      </c>
    </row>
    <row r="176" spans="17:24">
      <c r="U176" s="55" t="s">
        <v>55</v>
      </c>
      <c r="V176" s="97" t="s">
        <v>299</v>
      </c>
      <c r="W176" s="55">
        <v>60</v>
      </c>
      <c r="X176" s="55" t="s">
        <v>15</v>
      </c>
    </row>
    <row r="177" spans="19:24">
      <c r="U177" s="55" t="s">
        <v>55</v>
      </c>
      <c r="V177" s="97" t="s">
        <v>305</v>
      </c>
      <c r="W177" s="55">
        <v>30</v>
      </c>
      <c r="X177" s="55" t="s">
        <v>15</v>
      </c>
    </row>
    <row r="178" spans="19:24">
      <c r="U178" s="55" t="s">
        <v>55</v>
      </c>
      <c r="V178" s="97" t="s">
        <v>311</v>
      </c>
      <c r="W178" s="55">
        <v>60</v>
      </c>
      <c r="X178" s="55" t="s">
        <v>15</v>
      </c>
    </row>
    <row r="179" spans="19:24">
      <c r="U179" s="55" t="s">
        <v>55</v>
      </c>
      <c r="V179" s="54" t="s">
        <v>431</v>
      </c>
      <c r="W179" s="55">
        <v>30</v>
      </c>
      <c r="X179" s="55" t="s">
        <v>15</v>
      </c>
    </row>
    <row r="180" spans="19:24">
      <c r="U180" s="55" t="s">
        <v>55</v>
      </c>
      <c r="V180" s="54" t="s">
        <v>432</v>
      </c>
      <c r="W180" s="55">
        <v>30</v>
      </c>
      <c r="X180" s="55" t="s">
        <v>15</v>
      </c>
    </row>
    <row r="181" spans="19:24">
      <c r="U181" s="55" t="s">
        <v>55</v>
      </c>
      <c r="V181" s="23" t="s">
        <v>574</v>
      </c>
      <c r="W181" s="97">
        <v>60</v>
      </c>
      <c r="X181" s="97" t="s">
        <v>15</v>
      </c>
    </row>
    <row r="182" spans="19:24">
      <c r="U182" s="55" t="s">
        <v>55</v>
      </c>
      <c r="V182" s="23" t="s">
        <v>568</v>
      </c>
      <c r="W182" s="97">
        <v>60</v>
      </c>
      <c r="X182" s="97" t="s">
        <v>15</v>
      </c>
    </row>
    <row r="183" spans="19:24">
      <c r="U183" s="55" t="s">
        <v>55</v>
      </c>
      <c r="V183" s="23" t="s">
        <v>569</v>
      </c>
      <c r="W183" s="97">
        <v>60</v>
      </c>
      <c r="X183" s="97" t="s">
        <v>15</v>
      </c>
    </row>
    <row r="184" spans="19:24">
      <c r="U184" s="55" t="s">
        <v>55</v>
      </c>
      <c r="V184" s="23" t="s">
        <v>570</v>
      </c>
      <c r="W184" s="97">
        <v>60</v>
      </c>
      <c r="X184" s="97" t="s">
        <v>15</v>
      </c>
    </row>
    <row r="185" spans="19:24">
      <c r="U185" s="55" t="s">
        <v>55</v>
      </c>
      <c r="V185" s="23" t="s">
        <v>571</v>
      </c>
      <c r="W185" s="97">
        <v>60</v>
      </c>
      <c r="X185" s="97" t="s">
        <v>15</v>
      </c>
    </row>
    <row r="186" spans="19:24">
      <c r="S186" t="s">
        <v>353</v>
      </c>
      <c r="U186" s="55" t="s">
        <v>55</v>
      </c>
      <c r="V186" s="23" t="s">
        <v>572</v>
      </c>
      <c r="W186" s="14">
        <v>60</v>
      </c>
      <c r="X186" s="14" t="s">
        <v>15</v>
      </c>
    </row>
    <row r="187" spans="19:24">
      <c r="U187" s="55" t="s">
        <v>55</v>
      </c>
      <c r="V187" s="23" t="s">
        <v>573</v>
      </c>
      <c r="W187" s="14">
        <v>60</v>
      </c>
      <c r="X187" s="14" t="s">
        <v>15</v>
      </c>
    </row>
    <row r="188" spans="19:24">
      <c r="U188" s="55" t="s">
        <v>55</v>
      </c>
      <c r="V188" s="23" t="s">
        <v>567</v>
      </c>
      <c r="W188" s="14">
        <v>30</v>
      </c>
      <c r="X188" s="14" t="s">
        <v>15</v>
      </c>
    </row>
    <row r="189" spans="19:24">
      <c r="U189" s="55" t="s">
        <v>55</v>
      </c>
      <c r="V189" s="23" t="s">
        <v>566</v>
      </c>
      <c r="W189" s="14">
        <v>30</v>
      </c>
      <c r="X189" s="14" t="s">
        <v>15</v>
      </c>
    </row>
    <row r="190" spans="19:24">
      <c r="U190" s="55" t="s">
        <v>55</v>
      </c>
      <c r="V190" s="23" t="s">
        <v>565</v>
      </c>
      <c r="W190" s="14">
        <v>30</v>
      </c>
      <c r="X190" s="14" t="s">
        <v>15</v>
      </c>
    </row>
    <row r="191" spans="19:24">
      <c r="U191" s="55" t="s">
        <v>55</v>
      </c>
      <c r="V191" s="23" t="s">
        <v>564</v>
      </c>
      <c r="W191" s="14">
        <v>30</v>
      </c>
      <c r="X191" s="14" t="s">
        <v>15</v>
      </c>
    </row>
    <row r="192" spans="19:24">
      <c r="U192" s="55" t="s">
        <v>56</v>
      </c>
      <c r="V192" s="55" t="s">
        <v>115</v>
      </c>
      <c r="W192" s="55">
        <v>30</v>
      </c>
      <c r="X192" s="55" t="s">
        <v>15</v>
      </c>
    </row>
    <row r="193" spans="21:24">
      <c r="U193" s="55" t="s">
        <v>56</v>
      </c>
      <c r="V193" s="55" t="s">
        <v>116</v>
      </c>
      <c r="W193" s="55">
        <v>30</v>
      </c>
      <c r="X193" s="55" t="s">
        <v>15</v>
      </c>
    </row>
    <row r="194" spans="21:24">
      <c r="U194" s="55" t="s">
        <v>56</v>
      </c>
      <c r="V194" s="55" t="s">
        <v>117</v>
      </c>
      <c r="W194" s="55">
        <v>30</v>
      </c>
      <c r="X194" s="55" t="s">
        <v>15</v>
      </c>
    </row>
    <row r="195" spans="21:24">
      <c r="U195" s="55" t="s">
        <v>56</v>
      </c>
      <c r="V195" s="55" t="s">
        <v>118</v>
      </c>
      <c r="W195" s="55">
        <v>30</v>
      </c>
      <c r="X195" s="55" t="s">
        <v>15</v>
      </c>
    </row>
    <row r="196" spans="21:24">
      <c r="U196" s="55" t="s">
        <v>56</v>
      </c>
      <c r="V196" s="55" t="s">
        <v>119</v>
      </c>
      <c r="W196" s="55">
        <v>30</v>
      </c>
      <c r="X196" s="55" t="s">
        <v>15</v>
      </c>
    </row>
    <row r="197" spans="21:24">
      <c r="U197" s="55" t="s">
        <v>56</v>
      </c>
      <c r="V197" s="97" t="s">
        <v>274</v>
      </c>
      <c r="W197" s="55">
        <v>30</v>
      </c>
      <c r="X197" s="55" t="s">
        <v>15</v>
      </c>
    </row>
    <row r="198" spans="21:24">
      <c r="U198" s="55" t="s">
        <v>56</v>
      </c>
      <c r="V198" s="97" t="s">
        <v>289</v>
      </c>
      <c r="W198" s="55">
        <v>30</v>
      </c>
      <c r="X198" s="55" t="s">
        <v>15</v>
      </c>
    </row>
    <row r="199" spans="21:24">
      <c r="U199" s="55" t="s">
        <v>56</v>
      </c>
      <c r="V199" s="97" t="s">
        <v>298</v>
      </c>
      <c r="W199" s="55">
        <v>60</v>
      </c>
      <c r="X199" s="55" t="s">
        <v>15</v>
      </c>
    </row>
    <row r="200" spans="21:24">
      <c r="U200" s="55" t="s">
        <v>56</v>
      </c>
      <c r="V200" s="97" t="s">
        <v>303</v>
      </c>
      <c r="W200" s="97">
        <v>60</v>
      </c>
      <c r="X200" s="55" t="s">
        <v>15</v>
      </c>
    </row>
    <row r="201" spans="21:24">
      <c r="U201" s="55" t="s">
        <v>56</v>
      </c>
      <c r="V201" s="97" t="s">
        <v>447</v>
      </c>
      <c r="W201" s="97">
        <v>60</v>
      </c>
      <c r="X201" s="55" t="s">
        <v>15</v>
      </c>
    </row>
    <row r="202" spans="21:24">
      <c r="U202" s="55" t="s">
        <v>56</v>
      </c>
      <c r="V202" s="97" t="s">
        <v>448</v>
      </c>
      <c r="W202" s="97">
        <v>60</v>
      </c>
      <c r="X202" s="55" t="s">
        <v>15</v>
      </c>
    </row>
    <row r="203" spans="21:24">
      <c r="U203" s="55" t="s">
        <v>56</v>
      </c>
      <c r="V203" s="54" t="s">
        <v>449</v>
      </c>
      <c r="W203" s="97">
        <v>30</v>
      </c>
      <c r="X203" s="55" t="s">
        <v>15</v>
      </c>
    </row>
    <row r="204" spans="21:24">
      <c r="U204" s="55" t="s">
        <v>56</v>
      </c>
      <c r="V204" s="54" t="s">
        <v>576</v>
      </c>
      <c r="W204" s="55">
        <v>60</v>
      </c>
      <c r="X204" s="55" t="s">
        <v>15</v>
      </c>
    </row>
    <row r="205" spans="21:24">
      <c r="U205" s="55" t="s">
        <v>56</v>
      </c>
      <c r="V205" s="54" t="s">
        <v>577</v>
      </c>
      <c r="W205" s="97">
        <v>60</v>
      </c>
      <c r="X205" s="55" t="s">
        <v>15</v>
      </c>
    </row>
    <row r="206" spans="21:24">
      <c r="U206" s="55" t="s">
        <v>56</v>
      </c>
      <c r="V206" s="54" t="s">
        <v>580</v>
      </c>
      <c r="W206" s="97">
        <v>60</v>
      </c>
      <c r="X206" s="55" t="s">
        <v>15</v>
      </c>
    </row>
    <row r="207" spans="21:24">
      <c r="U207" s="55" t="s">
        <v>56</v>
      </c>
      <c r="V207" s="54" t="s">
        <v>578</v>
      </c>
      <c r="W207" s="97">
        <v>60</v>
      </c>
      <c r="X207" s="55" t="s">
        <v>15</v>
      </c>
    </row>
    <row r="208" spans="21:24">
      <c r="U208" s="55" t="s">
        <v>56</v>
      </c>
      <c r="V208" s="54" t="s">
        <v>579</v>
      </c>
      <c r="W208" s="55">
        <v>30</v>
      </c>
      <c r="X208" s="55" t="s">
        <v>15</v>
      </c>
    </row>
    <row r="209" spans="21:24">
      <c r="U209" s="55" t="s">
        <v>57</v>
      </c>
      <c r="V209" s="55" t="s">
        <v>253</v>
      </c>
      <c r="W209" s="55">
        <v>30</v>
      </c>
      <c r="X209" s="55" t="s">
        <v>15</v>
      </c>
    </row>
    <row r="210" spans="21:24">
      <c r="U210" s="55" t="s">
        <v>57</v>
      </c>
      <c r="V210" s="97" t="s">
        <v>140</v>
      </c>
      <c r="W210" s="55">
        <v>30</v>
      </c>
      <c r="X210" s="55" t="s">
        <v>15</v>
      </c>
    </row>
    <row r="211" spans="21:24">
      <c r="U211" s="55" t="s">
        <v>57</v>
      </c>
      <c r="V211" s="97" t="s">
        <v>141</v>
      </c>
      <c r="W211" s="55">
        <v>30</v>
      </c>
      <c r="X211" s="55" t="s">
        <v>15</v>
      </c>
    </row>
    <row r="212" spans="21:24">
      <c r="U212" s="55" t="s">
        <v>57</v>
      </c>
      <c r="V212" s="97" t="s">
        <v>142</v>
      </c>
      <c r="W212" s="55">
        <v>30</v>
      </c>
      <c r="X212" s="55" t="s">
        <v>15</v>
      </c>
    </row>
    <row r="213" spans="21:24">
      <c r="U213" s="55" t="s">
        <v>57</v>
      </c>
      <c r="V213" s="97" t="s">
        <v>290</v>
      </c>
      <c r="W213" s="55">
        <v>30</v>
      </c>
      <c r="X213" s="55" t="s">
        <v>15</v>
      </c>
    </row>
    <row r="214" spans="21:24">
      <c r="U214" s="55" t="s">
        <v>57</v>
      </c>
      <c r="V214" s="97" t="s">
        <v>143</v>
      </c>
      <c r="W214" s="55">
        <v>30</v>
      </c>
      <c r="X214" s="55" t="s">
        <v>15</v>
      </c>
    </row>
    <row r="215" spans="21:24" ht="15" customHeight="1">
      <c r="U215" s="55" t="s">
        <v>57</v>
      </c>
      <c r="V215" s="97" t="s">
        <v>306</v>
      </c>
      <c r="W215" s="55">
        <v>60</v>
      </c>
      <c r="X215" s="55" t="s">
        <v>15</v>
      </c>
    </row>
    <row r="216" spans="21:24">
      <c r="U216" s="55" t="s">
        <v>57</v>
      </c>
      <c r="V216" s="97" t="s">
        <v>144</v>
      </c>
      <c r="W216" s="55">
        <v>60</v>
      </c>
      <c r="X216" s="55" t="s">
        <v>15</v>
      </c>
    </row>
    <row r="217" spans="21:24">
      <c r="U217" s="55" t="s">
        <v>57</v>
      </c>
      <c r="V217" s="97" t="s">
        <v>316</v>
      </c>
      <c r="W217" s="55">
        <v>60</v>
      </c>
      <c r="X217" s="55" t="s">
        <v>15</v>
      </c>
    </row>
    <row r="218" spans="21:24">
      <c r="U218" s="55" t="s">
        <v>57</v>
      </c>
      <c r="V218" s="97" t="s">
        <v>145</v>
      </c>
      <c r="W218" s="55">
        <v>60</v>
      </c>
      <c r="X218" s="55" t="s">
        <v>15</v>
      </c>
    </row>
    <row r="219" spans="21:24">
      <c r="U219" s="55" t="s">
        <v>57</v>
      </c>
      <c r="V219" s="97" t="s">
        <v>323</v>
      </c>
      <c r="W219" s="55">
        <v>60</v>
      </c>
      <c r="X219" s="55" t="s">
        <v>15</v>
      </c>
    </row>
    <row r="220" spans="21:24">
      <c r="U220" s="55" t="s">
        <v>57</v>
      </c>
      <c r="V220" s="97" t="s">
        <v>324</v>
      </c>
      <c r="W220" s="55">
        <v>60</v>
      </c>
      <c r="X220" s="55" t="s">
        <v>15</v>
      </c>
    </row>
    <row r="221" spans="21:24">
      <c r="U221" s="55" t="s">
        <v>57</v>
      </c>
      <c r="V221" s="97" t="s">
        <v>325</v>
      </c>
      <c r="W221" s="55">
        <v>60</v>
      </c>
      <c r="X221" s="55" t="s">
        <v>15</v>
      </c>
    </row>
    <row r="222" spans="21:24">
      <c r="U222" s="55" t="s">
        <v>57</v>
      </c>
      <c r="V222" s="97" t="s">
        <v>326</v>
      </c>
      <c r="W222" s="55">
        <v>60</v>
      </c>
      <c r="X222" s="55" t="s">
        <v>15</v>
      </c>
    </row>
    <row r="223" spans="21:24">
      <c r="U223" s="55" t="s">
        <v>57</v>
      </c>
      <c r="V223" s="23"/>
      <c r="W223" s="55"/>
      <c r="X223" s="55"/>
    </row>
    <row r="224" spans="21:24">
      <c r="U224" s="55" t="s">
        <v>57</v>
      </c>
      <c r="V224" s="23"/>
      <c r="W224" s="55"/>
      <c r="X224" s="55"/>
    </row>
    <row r="225" spans="21:24">
      <c r="U225" s="55" t="s">
        <v>57</v>
      </c>
      <c r="V225" s="23" t="s">
        <v>592</v>
      </c>
      <c r="W225" s="55">
        <v>30</v>
      </c>
      <c r="X225" s="55" t="s">
        <v>15</v>
      </c>
    </row>
    <row r="226" spans="21:24">
      <c r="U226" s="55" t="s">
        <v>57</v>
      </c>
      <c r="V226" s="23" t="s">
        <v>590</v>
      </c>
      <c r="W226" s="55">
        <v>60</v>
      </c>
      <c r="X226" s="55" t="s">
        <v>15</v>
      </c>
    </row>
    <row r="227" spans="21:24">
      <c r="U227" s="55" t="s">
        <v>57</v>
      </c>
      <c r="V227" s="23" t="s">
        <v>589</v>
      </c>
      <c r="W227" s="55">
        <v>60</v>
      </c>
      <c r="X227" s="55" t="s">
        <v>15</v>
      </c>
    </row>
    <row r="228" spans="21:24">
      <c r="U228" s="55" t="s">
        <v>57</v>
      </c>
      <c r="V228" s="23" t="s">
        <v>591</v>
      </c>
      <c r="W228" s="55">
        <v>60</v>
      </c>
      <c r="X228" s="55" t="s">
        <v>15</v>
      </c>
    </row>
    <row r="229" spans="21:24">
      <c r="U229" s="55" t="s">
        <v>57</v>
      </c>
      <c r="V229" s="23" t="s">
        <v>588</v>
      </c>
      <c r="W229" s="55">
        <v>60</v>
      </c>
      <c r="X229" s="55" t="s">
        <v>15</v>
      </c>
    </row>
    <row r="230" spans="21:24">
      <c r="U230" s="55" t="s">
        <v>57</v>
      </c>
      <c r="V230" s="23" t="s">
        <v>593</v>
      </c>
      <c r="W230" s="55">
        <v>30</v>
      </c>
      <c r="X230" s="55" t="s">
        <v>15</v>
      </c>
    </row>
    <row r="231" spans="21:24">
      <c r="U231" s="55" t="s">
        <v>12</v>
      </c>
      <c r="V231" s="55" t="s">
        <v>31</v>
      </c>
      <c r="W231" s="55">
        <v>30</v>
      </c>
      <c r="X231" s="55" t="s">
        <v>15</v>
      </c>
    </row>
    <row r="232" spans="21:24">
      <c r="U232" s="55" t="s">
        <v>12</v>
      </c>
      <c r="V232" s="55" t="s">
        <v>32</v>
      </c>
      <c r="W232" s="55">
        <v>30</v>
      </c>
      <c r="X232" s="55" t="s">
        <v>15</v>
      </c>
    </row>
    <row r="233" spans="21:24">
      <c r="U233" s="55" t="s">
        <v>12</v>
      </c>
      <c r="V233" s="55" t="s">
        <v>33</v>
      </c>
      <c r="W233" s="55">
        <v>30</v>
      </c>
      <c r="X233" s="55" t="s">
        <v>15</v>
      </c>
    </row>
    <row r="234" spans="21:24">
      <c r="U234" s="55" t="s">
        <v>12</v>
      </c>
      <c r="V234" s="55" t="s">
        <v>34</v>
      </c>
      <c r="W234" s="55">
        <v>30</v>
      </c>
      <c r="X234" s="55" t="s">
        <v>15</v>
      </c>
    </row>
    <row r="235" spans="21:24">
      <c r="U235" s="55" t="s">
        <v>12</v>
      </c>
      <c r="V235" s="55" t="s">
        <v>35</v>
      </c>
      <c r="W235" s="55">
        <v>30</v>
      </c>
      <c r="X235" s="55" t="s">
        <v>15</v>
      </c>
    </row>
    <row r="236" spans="21:24">
      <c r="U236" s="55" t="s">
        <v>12</v>
      </c>
      <c r="V236" s="55" t="s">
        <v>36</v>
      </c>
      <c r="W236" s="55">
        <v>30</v>
      </c>
      <c r="X236" s="55" t="s">
        <v>15</v>
      </c>
    </row>
    <row r="237" spans="21:24">
      <c r="U237" s="55" t="s">
        <v>12</v>
      </c>
      <c r="V237" s="55" t="s">
        <v>37</v>
      </c>
      <c r="W237" s="55">
        <v>30</v>
      </c>
      <c r="X237" s="55" t="s">
        <v>15</v>
      </c>
    </row>
    <row r="238" spans="21:24">
      <c r="U238" s="55" t="s">
        <v>12</v>
      </c>
      <c r="V238" s="55" t="s">
        <v>362</v>
      </c>
      <c r="W238" s="55">
        <v>60</v>
      </c>
      <c r="X238" s="55" t="s">
        <v>15</v>
      </c>
    </row>
    <row r="239" spans="21:24">
      <c r="U239" s="55" t="s">
        <v>12</v>
      </c>
      <c r="V239" s="55" t="s">
        <v>39</v>
      </c>
      <c r="W239" s="55">
        <v>60</v>
      </c>
      <c r="X239" s="55" t="s">
        <v>15</v>
      </c>
    </row>
    <row r="240" spans="21:24">
      <c r="U240" s="55" t="s">
        <v>12</v>
      </c>
      <c r="V240" s="55" t="s">
        <v>363</v>
      </c>
      <c r="W240" s="55">
        <v>60</v>
      </c>
      <c r="X240" s="55" t="s">
        <v>15</v>
      </c>
    </row>
    <row r="241" spans="21:24">
      <c r="U241" s="55" t="s">
        <v>12</v>
      </c>
      <c r="V241" s="55" t="s">
        <v>364</v>
      </c>
      <c r="W241" s="55">
        <v>60</v>
      </c>
      <c r="X241" s="55" t="s">
        <v>15</v>
      </c>
    </row>
    <row r="242" spans="21:24">
      <c r="U242" s="55" t="s">
        <v>12</v>
      </c>
      <c r="V242" s="55" t="s">
        <v>365</v>
      </c>
      <c r="W242" s="55">
        <v>60</v>
      </c>
      <c r="X242" s="55" t="s">
        <v>15</v>
      </c>
    </row>
    <row r="243" spans="21:24">
      <c r="U243" s="55" t="s">
        <v>12</v>
      </c>
      <c r="V243" s="54" t="s">
        <v>452</v>
      </c>
      <c r="W243" s="132">
        <v>60</v>
      </c>
      <c r="X243" s="132" t="s">
        <v>15</v>
      </c>
    </row>
    <row r="244" spans="21:24">
      <c r="U244" s="55" t="s">
        <v>12</v>
      </c>
      <c r="V244" s="54" t="s">
        <v>453</v>
      </c>
      <c r="W244" s="132">
        <v>60</v>
      </c>
      <c r="X244" s="132" t="s">
        <v>15</v>
      </c>
    </row>
    <row r="245" spans="21:24">
      <c r="U245" s="55" t="s">
        <v>12</v>
      </c>
      <c r="V245" s="54" t="s">
        <v>454</v>
      </c>
      <c r="W245" s="132">
        <v>60</v>
      </c>
      <c r="X245" s="132" t="s">
        <v>15</v>
      </c>
    </row>
    <row r="246" spans="21:24">
      <c r="U246" s="55" t="s">
        <v>12</v>
      </c>
      <c r="V246" s="54" t="s">
        <v>455</v>
      </c>
      <c r="W246" s="132">
        <v>60</v>
      </c>
      <c r="X246" s="132" t="s">
        <v>15</v>
      </c>
    </row>
    <row r="247" spans="21:24">
      <c r="U247" s="55" t="s">
        <v>12</v>
      </c>
      <c r="V247" s="54" t="s">
        <v>456</v>
      </c>
      <c r="W247" s="132">
        <v>60</v>
      </c>
      <c r="X247" s="132" t="s">
        <v>15</v>
      </c>
    </row>
    <row r="248" spans="21:24">
      <c r="U248" s="55" t="s">
        <v>12</v>
      </c>
      <c r="V248" s="54" t="s">
        <v>457</v>
      </c>
      <c r="W248" s="132">
        <v>60</v>
      </c>
      <c r="X248" s="132" t="s">
        <v>15</v>
      </c>
    </row>
    <row r="249" spans="21:24">
      <c r="U249" s="55" t="s">
        <v>12</v>
      </c>
      <c r="V249" s="120" t="s">
        <v>599</v>
      </c>
      <c r="W249" s="132">
        <v>60</v>
      </c>
      <c r="X249" s="132" t="s">
        <v>15</v>
      </c>
    </row>
    <row r="250" spans="21:24">
      <c r="U250" s="55" t="s">
        <v>12</v>
      </c>
      <c r="V250" s="120" t="s">
        <v>600</v>
      </c>
      <c r="W250" s="132">
        <v>60</v>
      </c>
      <c r="X250" s="132" t="s">
        <v>15</v>
      </c>
    </row>
    <row r="251" spans="21:24">
      <c r="U251" s="55" t="s">
        <v>12</v>
      </c>
      <c r="V251" s="120" t="s">
        <v>601</v>
      </c>
      <c r="W251" s="132">
        <v>60</v>
      </c>
      <c r="X251" s="132" t="s">
        <v>15</v>
      </c>
    </row>
    <row r="252" spans="21:24">
      <c r="U252" s="55" t="s">
        <v>12</v>
      </c>
      <c r="V252" s="120" t="s">
        <v>602</v>
      </c>
      <c r="W252" s="132">
        <v>60</v>
      </c>
      <c r="X252" s="132" t="s">
        <v>15</v>
      </c>
    </row>
    <row r="253" spans="21:24">
      <c r="U253" s="55" t="s">
        <v>58</v>
      </c>
      <c r="V253" s="55" t="s">
        <v>120</v>
      </c>
      <c r="W253" s="55">
        <v>60</v>
      </c>
      <c r="X253" s="55" t="s">
        <v>15</v>
      </c>
    </row>
    <row r="254" spans="21:24">
      <c r="U254" s="55" t="s">
        <v>58</v>
      </c>
      <c r="V254" s="55" t="s">
        <v>121</v>
      </c>
      <c r="W254" s="55">
        <v>60</v>
      </c>
      <c r="X254" s="55" t="s">
        <v>15</v>
      </c>
    </row>
    <row r="255" spans="21:24">
      <c r="U255" s="55" t="s">
        <v>58</v>
      </c>
      <c r="V255" s="55" t="s">
        <v>275</v>
      </c>
      <c r="W255" s="55">
        <v>60</v>
      </c>
      <c r="X255" s="55" t="s">
        <v>15</v>
      </c>
    </row>
    <row r="256" spans="21:24">
      <c r="U256" s="55" t="s">
        <v>58</v>
      </c>
      <c r="V256" s="55" t="s">
        <v>123</v>
      </c>
      <c r="W256" s="55">
        <v>60</v>
      </c>
      <c r="X256" s="55" t="s">
        <v>15</v>
      </c>
    </row>
    <row r="257" spans="21:24">
      <c r="U257" s="55" t="s">
        <v>58</v>
      </c>
      <c r="V257" s="55" t="s">
        <v>124</v>
      </c>
      <c r="W257" s="55">
        <v>60</v>
      </c>
      <c r="X257" s="55" t="s">
        <v>15</v>
      </c>
    </row>
    <row r="258" spans="21:24">
      <c r="U258" s="55" t="s">
        <v>58</v>
      </c>
      <c r="V258" s="55" t="s">
        <v>254</v>
      </c>
      <c r="W258" s="55">
        <v>30</v>
      </c>
      <c r="X258" s="55" t="s">
        <v>15</v>
      </c>
    </row>
    <row r="259" spans="21:24">
      <c r="U259" s="55" t="s">
        <v>58</v>
      </c>
      <c r="V259" s="55" t="s">
        <v>267</v>
      </c>
      <c r="W259" s="55">
        <v>30</v>
      </c>
      <c r="X259" s="55" t="s">
        <v>15</v>
      </c>
    </row>
    <row r="260" spans="21:24">
      <c r="U260" s="55" t="s">
        <v>58</v>
      </c>
      <c r="V260" s="55" t="s">
        <v>259</v>
      </c>
      <c r="W260" s="55">
        <v>30</v>
      </c>
      <c r="X260" s="55" t="s">
        <v>15</v>
      </c>
    </row>
    <row r="261" spans="21:24">
      <c r="U261" s="55" t="s">
        <v>58</v>
      </c>
      <c r="V261" s="23" t="s">
        <v>284</v>
      </c>
      <c r="W261" s="55">
        <v>30</v>
      </c>
      <c r="X261" s="55" t="s">
        <v>15</v>
      </c>
    </row>
    <row r="262" spans="21:24">
      <c r="U262" s="55" t="s">
        <v>58</v>
      </c>
      <c r="V262" s="97" t="s">
        <v>291</v>
      </c>
      <c r="W262" s="55">
        <v>30</v>
      </c>
      <c r="X262" s="55" t="s">
        <v>15</v>
      </c>
    </row>
    <row r="263" spans="21:24">
      <c r="U263" s="55" t="s">
        <v>58</v>
      </c>
      <c r="V263" s="55" t="s">
        <v>257</v>
      </c>
      <c r="W263" s="55">
        <v>30</v>
      </c>
      <c r="X263" s="55" t="s">
        <v>15</v>
      </c>
    </row>
    <row r="264" spans="21:24">
      <c r="U264" s="55" t="s">
        <v>58</v>
      </c>
      <c r="V264" s="55" t="s">
        <v>258</v>
      </c>
      <c r="W264" s="55">
        <v>30</v>
      </c>
      <c r="X264" s="55" t="s">
        <v>15</v>
      </c>
    </row>
    <row r="265" spans="21:24">
      <c r="U265" s="55" t="s">
        <v>58</v>
      </c>
      <c r="V265" s="55" t="s">
        <v>255</v>
      </c>
      <c r="W265" s="55">
        <v>30</v>
      </c>
      <c r="X265" s="55" t="s">
        <v>15</v>
      </c>
    </row>
    <row r="266" spans="21:24">
      <c r="U266" s="55" t="s">
        <v>58</v>
      </c>
      <c r="V266" s="55" t="s">
        <v>268</v>
      </c>
      <c r="W266" s="55">
        <v>30</v>
      </c>
      <c r="X266" s="55" t="s">
        <v>15</v>
      </c>
    </row>
    <row r="267" spans="21:24">
      <c r="U267" s="55" t="s">
        <v>58</v>
      </c>
      <c r="V267" s="55" t="s">
        <v>276</v>
      </c>
      <c r="W267" s="55">
        <v>30</v>
      </c>
      <c r="X267" s="55" t="s">
        <v>15</v>
      </c>
    </row>
    <row r="268" spans="21:24">
      <c r="U268" s="55" t="s">
        <v>58</v>
      </c>
      <c r="V268" s="55" t="s">
        <v>269</v>
      </c>
      <c r="W268" s="55">
        <v>30</v>
      </c>
      <c r="X268" s="55" t="s">
        <v>15</v>
      </c>
    </row>
    <row r="269" spans="21:24">
      <c r="U269" s="55" t="s">
        <v>58</v>
      </c>
      <c r="V269" s="55" t="s">
        <v>277</v>
      </c>
      <c r="W269" s="55">
        <v>30</v>
      </c>
      <c r="X269" s="55" t="s">
        <v>15</v>
      </c>
    </row>
    <row r="270" spans="21:24">
      <c r="U270" s="55" t="s">
        <v>58</v>
      </c>
      <c r="V270" s="55" t="s">
        <v>285</v>
      </c>
      <c r="W270" s="55">
        <v>30</v>
      </c>
      <c r="X270" s="55" t="s">
        <v>15</v>
      </c>
    </row>
    <row r="271" spans="21:24">
      <c r="U271" s="55" t="s">
        <v>58</v>
      </c>
      <c r="V271" s="55" t="s">
        <v>292</v>
      </c>
      <c r="W271" s="55">
        <v>30</v>
      </c>
      <c r="X271" s="55" t="s">
        <v>15</v>
      </c>
    </row>
    <row r="272" spans="21:24">
      <c r="U272" s="55" t="s">
        <v>58</v>
      </c>
      <c r="V272" s="55" t="s">
        <v>300</v>
      </c>
      <c r="W272" s="55">
        <v>30</v>
      </c>
      <c r="X272" s="55" t="s">
        <v>15</v>
      </c>
    </row>
    <row r="273" spans="21:24">
      <c r="U273" s="55" t="s">
        <v>58</v>
      </c>
      <c r="V273" s="55" t="s">
        <v>307</v>
      </c>
      <c r="W273" s="55">
        <v>30</v>
      </c>
      <c r="X273" s="55" t="s">
        <v>15</v>
      </c>
    </row>
    <row r="274" spans="21:24">
      <c r="U274" s="55" t="s">
        <v>58</v>
      </c>
      <c r="V274" s="55" t="s">
        <v>312</v>
      </c>
      <c r="W274" s="55">
        <v>30</v>
      </c>
      <c r="X274" s="55" t="s">
        <v>15</v>
      </c>
    </row>
    <row r="275" spans="21:24">
      <c r="U275" s="55" t="s">
        <v>58</v>
      </c>
      <c r="V275" s="97" t="s">
        <v>327</v>
      </c>
      <c r="W275" s="55">
        <v>30</v>
      </c>
      <c r="X275" s="55" t="s">
        <v>15</v>
      </c>
    </row>
    <row r="276" spans="21:24">
      <c r="U276" s="55" t="s">
        <v>58</v>
      </c>
      <c r="V276" s="97" t="s">
        <v>328</v>
      </c>
      <c r="W276" s="55">
        <v>30</v>
      </c>
      <c r="X276" s="55" t="s">
        <v>15</v>
      </c>
    </row>
    <row r="277" spans="21:24">
      <c r="U277" s="55" t="s">
        <v>58</v>
      </c>
      <c r="V277" s="97" t="s">
        <v>317</v>
      </c>
      <c r="W277" s="55">
        <v>30</v>
      </c>
      <c r="X277" s="55" t="s">
        <v>15</v>
      </c>
    </row>
    <row r="278" spans="21:24">
      <c r="U278" s="55" t="s">
        <v>58</v>
      </c>
      <c r="V278" s="97" t="s">
        <v>321</v>
      </c>
      <c r="W278" s="55">
        <v>30</v>
      </c>
      <c r="X278" s="55" t="s">
        <v>15</v>
      </c>
    </row>
    <row r="279" spans="21:24">
      <c r="U279" s="55" t="s">
        <v>58</v>
      </c>
      <c r="V279" s="33" t="s">
        <v>611</v>
      </c>
      <c r="W279" s="55">
        <v>60</v>
      </c>
      <c r="X279" s="55" t="s">
        <v>15</v>
      </c>
    </row>
    <row r="280" spans="21:24">
      <c r="U280" s="55" t="s">
        <v>58</v>
      </c>
      <c r="V280" s="33" t="s">
        <v>612</v>
      </c>
      <c r="W280" s="55">
        <v>60</v>
      </c>
      <c r="X280" s="55" t="s">
        <v>15</v>
      </c>
    </row>
    <row r="281" spans="21:24">
      <c r="U281" s="55" t="s">
        <v>58</v>
      </c>
      <c r="V281" s="33" t="s">
        <v>613</v>
      </c>
      <c r="W281" s="55">
        <v>60</v>
      </c>
      <c r="X281" s="55" t="s">
        <v>15</v>
      </c>
    </row>
    <row r="282" spans="21:24">
      <c r="U282" s="55" t="s">
        <v>58</v>
      </c>
      <c r="V282" s="33" t="s">
        <v>614</v>
      </c>
      <c r="W282" s="55">
        <v>60</v>
      </c>
      <c r="X282" s="55" t="s">
        <v>15</v>
      </c>
    </row>
    <row r="283" spans="21:24">
      <c r="U283" s="55" t="s">
        <v>58</v>
      </c>
      <c r="V283" s="33" t="s">
        <v>615</v>
      </c>
      <c r="W283" s="55">
        <v>60</v>
      </c>
      <c r="X283" s="55" t="s">
        <v>15</v>
      </c>
    </row>
    <row r="284" spans="21:24">
      <c r="U284" s="55" t="s">
        <v>58</v>
      </c>
      <c r="V284" s="33" t="s">
        <v>616</v>
      </c>
      <c r="W284" s="55">
        <v>60</v>
      </c>
      <c r="X284" s="55" t="s">
        <v>15</v>
      </c>
    </row>
    <row r="285" spans="21:24">
      <c r="U285" s="55" t="s">
        <v>58</v>
      </c>
      <c r="V285" s="33" t="s">
        <v>617</v>
      </c>
      <c r="W285" s="55">
        <v>30</v>
      </c>
      <c r="X285" s="55" t="s">
        <v>15</v>
      </c>
    </row>
    <row r="286" spans="21:24">
      <c r="U286" s="55" t="s">
        <v>58</v>
      </c>
      <c r="V286" s="33" t="s">
        <v>618</v>
      </c>
      <c r="W286" s="55">
        <v>30</v>
      </c>
      <c r="X286" s="55" t="s">
        <v>15</v>
      </c>
    </row>
    <row r="287" spans="21:24">
      <c r="U287" s="55" t="s">
        <v>58</v>
      </c>
      <c r="V287" s="33" t="s">
        <v>619</v>
      </c>
      <c r="W287" s="55">
        <v>60</v>
      </c>
      <c r="X287" s="55" t="s">
        <v>15</v>
      </c>
    </row>
    <row r="288" spans="21:24">
      <c r="U288" s="55" t="s">
        <v>59</v>
      </c>
      <c r="V288" s="55" t="s">
        <v>125</v>
      </c>
      <c r="W288" s="55">
        <v>30</v>
      </c>
      <c r="X288" s="55" t="s">
        <v>15</v>
      </c>
    </row>
    <row r="289" spans="21:24">
      <c r="U289" s="55" t="s">
        <v>59</v>
      </c>
      <c r="V289" s="55" t="s">
        <v>126</v>
      </c>
      <c r="W289" s="55">
        <v>30</v>
      </c>
      <c r="X289" s="55" t="s">
        <v>15</v>
      </c>
    </row>
    <row r="290" spans="21:24">
      <c r="U290" s="55" t="s">
        <v>59</v>
      </c>
      <c r="V290" s="55" t="s">
        <v>127</v>
      </c>
      <c r="W290" s="55">
        <v>30</v>
      </c>
      <c r="X290" s="55" t="s">
        <v>15</v>
      </c>
    </row>
    <row r="291" spans="21:24">
      <c r="U291" s="55" t="s">
        <v>59</v>
      </c>
      <c r="V291" s="55" t="s">
        <v>128</v>
      </c>
      <c r="W291" s="55">
        <v>30</v>
      </c>
      <c r="X291" s="55" t="s">
        <v>15</v>
      </c>
    </row>
    <row r="292" spans="21:24">
      <c r="U292" s="55" t="s">
        <v>59</v>
      </c>
      <c r="V292" s="97" t="s">
        <v>293</v>
      </c>
      <c r="W292" s="55">
        <v>30</v>
      </c>
      <c r="X292" s="55" t="s">
        <v>15</v>
      </c>
    </row>
    <row r="293" spans="21:24">
      <c r="U293" s="55" t="s">
        <v>59</v>
      </c>
      <c r="V293" s="97" t="s">
        <v>301</v>
      </c>
      <c r="W293" s="55">
        <v>30</v>
      </c>
      <c r="X293" s="55" t="s">
        <v>15</v>
      </c>
    </row>
    <row r="294" spans="21:24">
      <c r="U294" s="55" t="s">
        <v>59</v>
      </c>
      <c r="V294" s="97" t="s">
        <v>308</v>
      </c>
      <c r="W294" s="55">
        <v>30</v>
      </c>
      <c r="X294" s="55" t="s">
        <v>15</v>
      </c>
    </row>
    <row r="295" spans="21:24">
      <c r="U295" s="55" t="s">
        <v>59</v>
      </c>
      <c r="V295" s="97" t="s">
        <v>313</v>
      </c>
      <c r="W295" s="55">
        <v>30</v>
      </c>
      <c r="X295" s="55" t="s">
        <v>15</v>
      </c>
    </row>
    <row r="296" spans="21:24">
      <c r="U296" s="55" t="s">
        <v>59</v>
      </c>
      <c r="V296" s="97" t="s">
        <v>318</v>
      </c>
      <c r="W296" s="55">
        <v>30</v>
      </c>
      <c r="X296" s="55" t="s">
        <v>15</v>
      </c>
    </row>
    <row r="297" spans="21:24">
      <c r="U297" s="55" t="s">
        <v>59</v>
      </c>
      <c r="V297" s="23" t="s">
        <v>442</v>
      </c>
      <c r="W297" s="55">
        <v>30</v>
      </c>
      <c r="X297" s="55" t="s">
        <v>15</v>
      </c>
    </row>
    <row r="298" spans="21:24">
      <c r="U298" s="55"/>
      <c r="V298" s="23"/>
      <c r="W298" s="55"/>
      <c r="X298" s="55"/>
    </row>
    <row r="299" spans="21:24">
      <c r="U299" s="55" t="s">
        <v>59</v>
      </c>
      <c r="V299" s="23" t="s">
        <v>623</v>
      </c>
      <c r="W299" s="55">
        <v>60</v>
      </c>
      <c r="X299" s="14" t="s">
        <v>15</v>
      </c>
    </row>
    <row r="300" spans="21:24">
      <c r="U300" s="55" t="s">
        <v>59</v>
      </c>
      <c r="V300" s="23" t="s">
        <v>625</v>
      </c>
      <c r="W300" s="55">
        <v>30</v>
      </c>
      <c r="X300" s="14" t="s">
        <v>15</v>
      </c>
    </row>
    <row r="301" spans="21:24">
      <c r="U301" s="55" t="s">
        <v>59</v>
      </c>
      <c r="V301" s="23" t="s">
        <v>627</v>
      </c>
      <c r="W301" s="55">
        <v>60</v>
      </c>
      <c r="X301" s="14" t="s">
        <v>15</v>
      </c>
    </row>
    <row r="302" spans="21:24">
      <c r="U302" s="55" t="s">
        <v>59</v>
      </c>
      <c r="V302" s="23" t="s">
        <v>629</v>
      </c>
      <c r="W302" s="55">
        <v>60</v>
      </c>
      <c r="X302" s="14" t="s">
        <v>15</v>
      </c>
    </row>
    <row r="303" spans="21:24">
      <c r="U303" s="55" t="s">
        <v>59</v>
      </c>
      <c r="V303" s="23" t="s">
        <v>630</v>
      </c>
      <c r="W303" s="55">
        <v>60</v>
      </c>
      <c r="X303" s="14" t="s">
        <v>15</v>
      </c>
    </row>
    <row r="304" spans="21:24">
      <c r="U304" s="55" t="s">
        <v>59</v>
      </c>
      <c r="V304" s="23" t="s">
        <v>631</v>
      </c>
      <c r="W304" s="55">
        <v>60</v>
      </c>
      <c r="X304" s="14" t="s">
        <v>15</v>
      </c>
    </row>
    <row r="305" spans="21:24">
      <c r="U305" s="55" t="s">
        <v>59</v>
      </c>
      <c r="V305" s="23" t="s">
        <v>632</v>
      </c>
      <c r="W305" s="55">
        <v>60</v>
      </c>
      <c r="X305" s="14" t="s">
        <v>15</v>
      </c>
    </row>
    <row r="306" spans="21:24">
      <c r="U306" s="55" t="s">
        <v>59</v>
      </c>
      <c r="V306" s="23" t="s">
        <v>633</v>
      </c>
      <c r="W306" s="55">
        <v>60</v>
      </c>
      <c r="X306" s="14" t="s">
        <v>15</v>
      </c>
    </row>
    <row r="307" spans="21:24">
      <c r="U307" s="55" t="s">
        <v>59</v>
      </c>
      <c r="V307" s="23" t="s">
        <v>626</v>
      </c>
      <c r="W307" s="55">
        <v>30</v>
      </c>
      <c r="X307" s="14" t="s">
        <v>15</v>
      </c>
    </row>
    <row r="308" spans="21:24">
      <c r="U308" s="55" t="s">
        <v>59</v>
      </c>
      <c r="V308" s="23" t="s">
        <v>628</v>
      </c>
      <c r="W308" s="55">
        <v>60</v>
      </c>
      <c r="X308" s="14" t="s">
        <v>15</v>
      </c>
    </row>
    <row r="309" spans="21:24">
      <c r="U309" s="55" t="s">
        <v>60</v>
      </c>
      <c r="V309" s="55" t="s">
        <v>260</v>
      </c>
      <c r="W309" s="55">
        <v>30</v>
      </c>
      <c r="X309" s="55" t="s">
        <v>15</v>
      </c>
    </row>
    <row r="310" spans="21:24">
      <c r="U310" s="55" t="s">
        <v>60</v>
      </c>
      <c r="V310" s="55" t="s">
        <v>82</v>
      </c>
      <c r="W310" s="55">
        <v>30</v>
      </c>
      <c r="X310" s="55" t="s">
        <v>15</v>
      </c>
    </row>
    <row r="311" spans="21:24">
      <c r="U311" s="55" t="s">
        <v>60</v>
      </c>
      <c r="V311" s="55" t="s">
        <v>278</v>
      </c>
      <c r="W311" s="55">
        <v>30</v>
      </c>
      <c r="X311" s="55" t="s">
        <v>15</v>
      </c>
    </row>
    <row r="312" spans="21:24">
      <c r="U312" s="55" t="s">
        <v>60</v>
      </c>
      <c r="V312" s="97" t="s">
        <v>286</v>
      </c>
      <c r="W312" s="55">
        <v>30</v>
      </c>
      <c r="X312" s="55" t="s">
        <v>15</v>
      </c>
    </row>
    <row r="313" spans="21:24">
      <c r="U313" s="55" t="s">
        <v>60</v>
      </c>
      <c r="V313" s="97" t="s">
        <v>294</v>
      </c>
      <c r="W313" s="55">
        <v>30</v>
      </c>
      <c r="X313" s="55" t="s">
        <v>15</v>
      </c>
    </row>
    <row r="314" spans="21:24">
      <c r="U314" s="55" t="s">
        <v>60</v>
      </c>
      <c r="V314" s="97" t="s">
        <v>302</v>
      </c>
      <c r="W314" s="55">
        <v>30</v>
      </c>
      <c r="X314" s="55" t="s">
        <v>15</v>
      </c>
    </row>
    <row r="315" spans="21:24">
      <c r="U315" s="55" t="s">
        <v>60</v>
      </c>
      <c r="V315" s="23" t="s">
        <v>642</v>
      </c>
      <c r="W315" s="55">
        <v>60</v>
      </c>
      <c r="X315" s="55" t="s">
        <v>15</v>
      </c>
    </row>
    <row r="316" spans="21:24">
      <c r="U316" s="55" t="s">
        <v>60</v>
      </c>
      <c r="V316" s="23" t="s">
        <v>643</v>
      </c>
      <c r="W316" s="55">
        <v>60</v>
      </c>
      <c r="X316" s="55" t="s">
        <v>15</v>
      </c>
    </row>
    <row r="317" spans="21:24">
      <c r="U317" s="55" t="s">
        <v>60</v>
      </c>
      <c r="V317" s="23" t="s">
        <v>644</v>
      </c>
      <c r="W317" s="55">
        <v>60</v>
      </c>
      <c r="X317" s="55" t="s">
        <v>15</v>
      </c>
    </row>
    <row r="318" spans="21:24">
      <c r="U318" s="55" t="s">
        <v>60</v>
      </c>
      <c r="V318" s="23" t="s">
        <v>645</v>
      </c>
      <c r="W318" s="55">
        <v>60</v>
      </c>
      <c r="X318" s="55" t="s">
        <v>15</v>
      </c>
    </row>
    <row r="319" spans="21:24">
      <c r="U319" s="55" t="s">
        <v>60</v>
      </c>
      <c r="V319" s="54" t="s">
        <v>434</v>
      </c>
      <c r="W319" s="55">
        <v>30</v>
      </c>
      <c r="X319" s="55" t="s">
        <v>15</v>
      </c>
    </row>
    <row r="320" spans="21:24">
      <c r="U320" s="55" t="s">
        <v>60</v>
      </c>
      <c r="V320" s="54" t="s">
        <v>435</v>
      </c>
      <c r="W320" s="55">
        <v>30</v>
      </c>
      <c r="X320" s="55" t="s">
        <v>15</v>
      </c>
    </row>
    <row r="321" spans="21:24">
      <c r="U321" s="55" t="s">
        <v>60</v>
      </c>
      <c r="V321" s="54" t="s">
        <v>436</v>
      </c>
      <c r="W321" s="55">
        <v>30</v>
      </c>
      <c r="X321" s="55" t="s">
        <v>15</v>
      </c>
    </row>
    <row r="322" spans="21:24" ht="15" customHeight="1">
      <c r="U322" s="55" t="s">
        <v>60</v>
      </c>
      <c r="V322" s="98" t="s">
        <v>437</v>
      </c>
      <c r="W322" s="55">
        <v>30</v>
      </c>
      <c r="X322" s="55" t="s">
        <v>15</v>
      </c>
    </row>
    <row r="323" spans="21:24">
      <c r="U323" s="55" t="s">
        <v>60</v>
      </c>
      <c r="V323" s="54" t="s">
        <v>438</v>
      </c>
      <c r="W323" s="55">
        <v>30</v>
      </c>
      <c r="X323" s="55" t="s">
        <v>15</v>
      </c>
    </row>
    <row r="324" spans="21:24">
      <c r="U324" s="55" t="s">
        <v>60</v>
      </c>
      <c r="V324" s="54" t="s">
        <v>639</v>
      </c>
      <c r="W324" s="55">
        <v>30</v>
      </c>
      <c r="X324" s="14" t="s">
        <v>15</v>
      </c>
    </row>
    <row r="325" spans="21:24">
      <c r="U325" s="97" t="s">
        <v>146</v>
      </c>
      <c r="V325" s="55" t="s">
        <v>396</v>
      </c>
      <c r="W325" s="55">
        <v>30</v>
      </c>
      <c r="X325" s="55" t="s">
        <v>15</v>
      </c>
    </row>
    <row r="326" spans="21:24">
      <c r="U326" s="97" t="s">
        <v>146</v>
      </c>
      <c r="V326" s="55" t="s">
        <v>397</v>
      </c>
      <c r="W326" s="55">
        <v>30</v>
      </c>
      <c r="X326" s="55" t="s">
        <v>15</v>
      </c>
    </row>
    <row r="327" spans="21:24">
      <c r="U327" s="97" t="s">
        <v>146</v>
      </c>
      <c r="V327" s="55" t="s">
        <v>398</v>
      </c>
      <c r="W327" s="55">
        <v>30</v>
      </c>
      <c r="X327" s="55" t="s">
        <v>15</v>
      </c>
    </row>
    <row r="328" spans="21:24">
      <c r="U328" s="97" t="s">
        <v>146</v>
      </c>
      <c r="V328" s="55" t="s">
        <v>399</v>
      </c>
      <c r="W328" s="55">
        <v>30</v>
      </c>
      <c r="X328" s="55" t="s">
        <v>15</v>
      </c>
    </row>
    <row r="329" spans="21:24">
      <c r="U329" s="97" t="s">
        <v>146</v>
      </c>
      <c r="V329" s="55" t="s">
        <v>400</v>
      </c>
      <c r="W329" s="55">
        <v>30</v>
      </c>
      <c r="X329" s="55" t="s">
        <v>15</v>
      </c>
    </row>
    <row r="330" spans="21:24">
      <c r="U330" s="97" t="s">
        <v>146</v>
      </c>
      <c r="V330" s="55" t="s">
        <v>401</v>
      </c>
      <c r="W330" s="55">
        <v>30</v>
      </c>
      <c r="X330" s="55" t="s">
        <v>15</v>
      </c>
    </row>
    <row r="331" spans="21:24">
      <c r="U331" s="97" t="s">
        <v>146</v>
      </c>
      <c r="V331" s="55" t="s">
        <v>402</v>
      </c>
      <c r="W331" s="55">
        <v>30</v>
      </c>
      <c r="X331" s="55" t="s">
        <v>15</v>
      </c>
    </row>
    <row r="332" spans="21:24">
      <c r="U332" s="97" t="s">
        <v>146</v>
      </c>
      <c r="V332" s="55" t="s">
        <v>403</v>
      </c>
      <c r="W332" s="55">
        <v>30</v>
      </c>
      <c r="X332" s="55" t="s">
        <v>15</v>
      </c>
    </row>
    <row r="333" spans="21:24">
      <c r="U333" s="97" t="s">
        <v>146</v>
      </c>
      <c r="V333" s="55" t="s">
        <v>404</v>
      </c>
      <c r="W333" s="55">
        <v>30</v>
      </c>
      <c r="X333" s="55" t="s">
        <v>15</v>
      </c>
    </row>
    <row r="334" spans="21:24">
      <c r="U334" s="97" t="s">
        <v>146</v>
      </c>
      <c r="V334" s="55" t="s">
        <v>405</v>
      </c>
      <c r="W334" s="55">
        <v>30</v>
      </c>
      <c r="X334" s="55" t="s">
        <v>15</v>
      </c>
    </row>
    <row r="335" spans="21:24">
      <c r="U335" s="97" t="s">
        <v>146</v>
      </c>
      <c r="V335" s="55" t="s">
        <v>406</v>
      </c>
      <c r="W335" s="55">
        <v>30</v>
      </c>
      <c r="X335" s="55" t="s">
        <v>15</v>
      </c>
    </row>
    <row r="336" spans="21:24">
      <c r="U336" s="97" t="s">
        <v>146</v>
      </c>
      <c r="V336" s="55" t="s">
        <v>407</v>
      </c>
      <c r="W336" s="55">
        <v>30</v>
      </c>
      <c r="X336" s="55" t="s">
        <v>15</v>
      </c>
    </row>
    <row r="337" spans="21:24">
      <c r="U337" s="97" t="s">
        <v>146</v>
      </c>
      <c r="V337" s="55" t="s">
        <v>408</v>
      </c>
      <c r="W337" s="55">
        <v>30</v>
      </c>
      <c r="X337" s="55" t="s">
        <v>15</v>
      </c>
    </row>
    <row r="338" spans="21:24">
      <c r="U338" s="97" t="s">
        <v>146</v>
      </c>
      <c r="V338" s="55" t="s">
        <v>409</v>
      </c>
      <c r="W338" s="55">
        <v>30</v>
      </c>
      <c r="X338" s="55" t="s">
        <v>15</v>
      </c>
    </row>
    <row r="339" spans="21:24">
      <c r="U339" s="97" t="s">
        <v>146</v>
      </c>
      <c r="V339" s="55" t="s">
        <v>410</v>
      </c>
      <c r="W339" s="55">
        <v>30</v>
      </c>
      <c r="X339" s="55" t="s">
        <v>15</v>
      </c>
    </row>
    <row r="340" spans="21:24">
      <c r="U340" s="97" t="s">
        <v>146</v>
      </c>
      <c r="V340" s="55" t="s">
        <v>411</v>
      </c>
      <c r="W340" s="55">
        <v>30</v>
      </c>
      <c r="X340" s="55" t="s">
        <v>15</v>
      </c>
    </row>
    <row r="341" spans="21:24">
      <c r="U341" s="97" t="s">
        <v>168</v>
      </c>
      <c r="V341" s="14" t="s">
        <v>171</v>
      </c>
      <c r="W341" s="97">
        <v>30</v>
      </c>
      <c r="X341" s="55" t="s">
        <v>15</v>
      </c>
    </row>
    <row r="342" spans="21:24">
      <c r="U342" s="97" t="s">
        <v>168</v>
      </c>
      <c r="V342" s="14" t="s">
        <v>460</v>
      </c>
      <c r="W342" s="97">
        <v>30</v>
      </c>
      <c r="X342" s="55" t="s">
        <v>15</v>
      </c>
    </row>
    <row r="343" spans="21:24">
      <c r="U343" s="97" t="s">
        <v>168</v>
      </c>
      <c r="V343" s="14" t="s">
        <v>173</v>
      </c>
      <c r="W343" s="97">
        <v>30</v>
      </c>
      <c r="X343" s="55" t="s">
        <v>15</v>
      </c>
    </row>
    <row r="344" spans="21:24">
      <c r="U344" s="97" t="s">
        <v>168</v>
      </c>
      <c r="V344" s="14" t="s">
        <v>461</v>
      </c>
      <c r="W344" s="97">
        <v>30</v>
      </c>
      <c r="X344" s="55" t="s">
        <v>15</v>
      </c>
    </row>
    <row r="345" spans="21:24">
      <c r="U345" s="97" t="s">
        <v>168</v>
      </c>
      <c r="V345" s="14" t="s">
        <v>462</v>
      </c>
      <c r="W345" s="97">
        <v>30</v>
      </c>
      <c r="X345" s="55" t="s">
        <v>15</v>
      </c>
    </row>
    <row r="346" spans="21:24">
      <c r="U346" s="97" t="s">
        <v>168</v>
      </c>
      <c r="V346" s="14" t="s">
        <v>463</v>
      </c>
      <c r="W346" s="97">
        <v>30</v>
      </c>
      <c r="X346" s="55" t="s">
        <v>15</v>
      </c>
    </row>
    <row r="347" spans="21:24">
      <c r="U347" s="97" t="s">
        <v>168</v>
      </c>
      <c r="V347" s="14" t="s">
        <v>464</v>
      </c>
      <c r="W347" s="97">
        <v>30</v>
      </c>
      <c r="X347" s="55" t="s">
        <v>15</v>
      </c>
    </row>
    <row r="348" spans="21:24">
      <c r="U348" s="97" t="s">
        <v>168</v>
      </c>
      <c r="V348" s="14" t="s">
        <v>465</v>
      </c>
      <c r="W348" s="97">
        <v>60</v>
      </c>
      <c r="X348" s="55" t="s">
        <v>15</v>
      </c>
    </row>
    <row r="349" spans="21:24">
      <c r="U349" s="97" t="s">
        <v>168</v>
      </c>
      <c r="V349" s="14" t="s">
        <v>466</v>
      </c>
      <c r="W349" s="97">
        <v>60</v>
      </c>
      <c r="X349" s="55" t="s">
        <v>15</v>
      </c>
    </row>
    <row r="350" spans="21:24">
      <c r="U350" s="97" t="s">
        <v>168</v>
      </c>
      <c r="V350" s="14" t="s">
        <v>467</v>
      </c>
      <c r="W350" s="97">
        <v>60</v>
      </c>
      <c r="X350" s="55" t="s">
        <v>15</v>
      </c>
    </row>
    <row r="351" spans="21:24">
      <c r="U351" s="97" t="s">
        <v>168</v>
      </c>
      <c r="V351" s="14" t="s">
        <v>468</v>
      </c>
      <c r="W351" s="97">
        <v>60</v>
      </c>
      <c r="X351" s="55" t="s">
        <v>15</v>
      </c>
    </row>
    <row r="352" spans="21:24">
      <c r="U352" s="97" t="s">
        <v>168</v>
      </c>
      <c r="V352" s="14" t="s">
        <v>469</v>
      </c>
      <c r="W352" s="97">
        <v>60</v>
      </c>
      <c r="X352" s="55" t="s">
        <v>15</v>
      </c>
    </row>
    <row r="353" spans="21:24">
      <c r="U353" s="97" t="s">
        <v>168</v>
      </c>
      <c r="V353" s="14" t="s">
        <v>470</v>
      </c>
      <c r="W353" s="97">
        <v>60</v>
      </c>
      <c r="X353" s="55" t="s">
        <v>15</v>
      </c>
    </row>
    <row r="354" spans="21:24">
      <c r="U354" s="97" t="s">
        <v>168</v>
      </c>
      <c r="V354" s="14" t="s">
        <v>471</v>
      </c>
      <c r="W354" s="97">
        <v>60</v>
      </c>
      <c r="X354" s="55" t="s">
        <v>15</v>
      </c>
    </row>
    <row r="355" spans="21:24">
      <c r="U355" s="97" t="s">
        <v>168</v>
      </c>
      <c r="V355" s="23" t="s">
        <v>604</v>
      </c>
      <c r="W355" s="97">
        <v>60</v>
      </c>
      <c r="X355" s="97" t="s">
        <v>15</v>
      </c>
    </row>
    <row r="356" spans="21:24">
      <c r="U356" s="97" t="s">
        <v>168</v>
      </c>
      <c r="V356" s="23" t="s">
        <v>605</v>
      </c>
      <c r="W356" s="97">
        <v>60</v>
      </c>
      <c r="X356" s="97" t="s">
        <v>15</v>
      </c>
    </row>
  </sheetData>
  <conditionalFormatting sqref="W3:W41 W43:W185 W192:W207 W209:W356">
    <cfRule type="cellIs" dxfId="0" priority="16" stopIfTrue="1" operator="equal">
      <formula>60</formula>
    </cfRule>
  </conditionalFormatting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392"/>
  <sheetViews>
    <sheetView topLeftCell="E290" workbookViewId="0">
      <selection activeCell="M385" sqref="M385"/>
    </sheetView>
  </sheetViews>
  <sheetFormatPr baseColWidth="10" defaultColWidth="8.83203125" defaultRowHeight="14" x14ac:dyDescent="0"/>
  <cols>
    <col min="4" max="4" width="38.6640625" customWidth="1"/>
    <col min="5" max="5" width="75.1640625" customWidth="1"/>
  </cols>
  <sheetData>
    <row r="1" spans="1:12">
      <c r="A1" t="s">
        <v>3</v>
      </c>
      <c r="B1" t="s">
        <v>1</v>
      </c>
      <c r="D1" s="161" t="s">
        <v>190</v>
      </c>
      <c r="E1" s="161"/>
      <c r="F1" t="s">
        <v>472</v>
      </c>
      <c r="G1" t="s">
        <v>3</v>
      </c>
      <c r="H1" t="s">
        <v>1</v>
      </c>
      <c r="J1" t="s">
        <v>439</v>
      </c>
      <c r="K1" t="s">
        <v>3</v>
      </c>
      <c r="L1" t="s">
        <v>1</v>
      </c>
    </row>
    <row r="2" spans="1:12">
      <c r="A2">
        <v>0</v>
      </c>
      <c r="B2" t="s">
        <v>7</v>
      </c>
      <c r="D2" s="13" t="s">
        <v>10</v>
      </c>
      <c r="E2" s="13" t="s">
        <v>134</v>
      </c>
      <c r="G2">
        <v>0</v>
      </c>
      <c r="H2" t="s">
        <v>7</v>
      </c>
      <c r="K2">
        <v>0</v>
      </c>
      <c r="L2" t="s">
        <v>7</v>
      </c>
    </row>
    <row r="3" spans="1:12">
      <c r="A3">
        <v>1</v>
      </c>
      <c r="B3" t="s">
        <v>7</v>
      </c>
      <c r="D3" s="43" t="s">
        <v>50</v>
      </c>
      <c r="E3" s="14" t="s">
        <v>191</v>
      </c>
      <c r="G3">
        <v>1</v>
      </c>
      <c r="H3" t="s">
        <v>7</v>
      </c>
      <c r="K3">
        <v>1</v>
      </c>
      <c r="L3" t="s">
        <v>7</v>
      </c>
    </row>
    <row r="4" spans="1:12">
      <c r="A4">
        <v>2</v>
      </c>
      <c r="B4" t="s">
        <v>7</v>
      </c>
      <c r="D4" s="43" t="s">
        <v>180</v>
      </c>
      <c r="E4" s="14" t="s">
        <v>191</v>
      </c>
      <c r="G4">
        <v>2</v>
      </c>
      <c r="H4" t="s">
        <v>7</v>
      </c>
      <c r="K4">
        <v>2</v>
      </c>
      <c r="L4" t="s">
        <v>7</v>
      </c>
    </row>
    <row r="5" spans="1:12">
      <c r="A5">
        <v>3</v>
      </c>
      <c r="B5" t="s">
        <v>7</v>
      </c>
      <c r="D5" s="43" t="s">
        <v>181</v>
      </c>
      <c r="E5" s="14" t="s">
        <v>191</v>
      </c>
      <c r="G5">
        <v>3</v>
      </c>
      <c r="H5" t="s">
        <v>7</v>
      </c>
      <c r="K5">
        <v>3</v>
      </c>
      <c r="L5" t="s">
        <v>7</v>
      </c>
    </row>
    <row r="6" spans="1:12">
      <c r="A6">
        <v>4</v>
      </c>
      <c r="B6" t="s">
        <v>7</v>
      </c>
      <c r="D6" s="43" t="s">
        <v>182</v>
      </c>
      <c r="E6" s="14" t="s">
        <v>191</v>
      </c>
      <c r="G6">
        <v>4</v>
      </c>
      <c r="H6" t="s">
        <v>7</v>
      </c>
      <c r="K6">
        <v>4</v>
      </c>
      <c r="L6" t="s">
        <v>7</v>
      </c>
    </row>
    <row r="7" spans="1:12">
      <c r="A7">
        <v>5</v>
      </c>
      <c r="B7" t="s">
        <v>7</v>
      </c>
      <c r="D7" s="43" t="s">
        <v>183</v>
      </c>
      <c r="E7" s="14" t="s">
        <v>191</v>
      </c>
      <c r="G7">
        <v>5</v>
      </c>
      <c r="H7" t="s">
        <v>7</v>
      </c>
      <c r="K7">
        <v>5</v>
      </c>
      <c r="L7" t="s">
        <v>7</v>
      </c>
    </row>
    <row r="8" spans="1:12">
      <c r="A8">
        <v>6</v>
      </c>
      <c r="B8" t="s">
        <v>7</v>
      </c>
      <c r="D8" s="43" t="s">
        <v>184</v>
      </c>
      <c r="E8" s="14" t="s">
        <v>191</v>
      </c>
      <c r="G8">
        <v>6</v>
      </c>
      <c r="H8" t="s">
        <v>7</v>
      </c>
      <c r="K8">
        <v>6</v>
      </c>
      <c r="L8" t="s">
        <v>7</v>
      </c>
    </row>
    <row r="9" spans="1:12">
      <c r="A9">
        <v>7</v>
      </c>
      <c r="B9" t="s">
        <v>7</v>
      </c>
      <c r="D9" s="43" t="s">
        <v>185</v>
      </c>
      <c r="E9" s="14" t="s">
        <v>191</v>
      </c>
      <c r="G9">
        <v>7</v>
      </c>
      <c r="H9" t="s">
        <v>7</v>
      </c>
      <c r="K9">
        <v>7</v>
      </c>
      <c r="L9" t="s">
        <v>7</v>
      </c>
    </row>
    <row r="10" spans="1:12">
      <c r="A10">
        <v>8</v>
      </c>
      <c r="B10" t="s">
        <v>7</v>
      </c>
      <c r="D10" s="43" t="s">
        <v>51</v>
      </c>
      <c r="E10" s="14" t="s">
        <v>191</v>
      </c>
      <c r="G10">
        <v>8</v>
      </c>
      <c r="H10" t="s">
        <v>7</v>
      </c>
      <c r="K10">
        <v>8</v>
      </c>
      <c r="L10" t="s">
        <v>7</v>
      </c>
    </row>
    <row r="11" spans="1:12">
      <c r="A11">
        <v>9</v>
      </c>
      <c r="B11" t="s">
        <v>7</v>
      </c>
      <c r="D11" s="43" t="s">
        <v>129</v>
      </c>
      <c r="E11" s="14" t="s">
        <v>191</v>
      </c>
      <c r="G11">
        <v>9</v>
      </c>
      <c r="H11" t="s">
        <v>7</v>
      </c>
      <c r="K11">
        <v>9</v>
      </c>
      <c r="L11" t="s">
        <v>7</v>
      </c>
    </row>
    <row r="12" spans="1:12">
      <c r="A12">
        <v>10</v>
      </c>
      <c r="B12" t="s">
        <v>7</v>
      </c>
      <c r="D12" s="43" t="s">
        <v>52</v>
      </c>
      <c r="E12" s="14" t="s">
        <v>191</v>
      </c>
      <c r="G12">
        <v>10</v>
      </c>
      <c r="H12" t="s">
        <v>7</v>
      </c>
      <c r="K12">
        <v>10</v>
      </c>
      <c r="L12" t="s">
        <v>7</v>
      </c>
    </row>
    <row r="13" spans="1:12">
      <c r="A13">
        <v>11</v>
      </c>
      <c r="B13" t="s">
        <v>7</v>
      </c>
      <c r="D13" s="43" t="s">
        <v>53</v>
      </c>
      <c r="E13" s="14" t="s">
        <v>191</v>
      </c>
      <c r="G13">
        <v>11</v>
      </c>
      <c r="H13" t="s">
        <v>7</v>
      </c>
      <c r="K13">
        <v>11</v>
      </c>
      <c r="L13" t="s">
        <v>7</v>
      </c>
    </row>
    <row r="14" spans="1:12">
      <c r="A14">
        <v>12</v>
      </c>
      <c r="B14" t="s">
        <v>7</v>
      </c>
      <c r="D14" s="43" t="s">
        <v>54</v>
      </c>
      <c r="E14" s="14" t="s">
        <v>191</v>
      </c>
      <c r="G14">
        <v>12</v>
      </c>
      <c r="H14" t="s">
        <v>7</v>
      </c>
      <c r="K14">
        <v>12</v>
      </c>
      <c r="L14" t="s">
        <v>7</v>
      </c>
    </row>
    <row r="15" spans="1:12">
      <c r="A15">
        <v>13</v>
      </c>
      <c r="B15" t="s">
        <v>7</v>
      </c>
      <c r="D15" s="43" t="s">
        <v>55</v>
      </c>
      <c r="E15" s="14" t="s">
        <v>191</v>
      </c>
      <c r="G15">
        <v>13</v>
      </c>
      <c r="H15" t="s">
        <v>7</v>
      </c>
      <c r="K15">
        <v>13</v>
      </c>
      <c r="L15" t="s">
        <v>7</v>
      </c>
    </row>
    <row r="16" spans="1:12">
      <c r="A16">
        <v>14</v>
      </c>
      <c r="B16" t="s">
        <v>7</v>
      </c>
      <c r="D16" s="43" t="s">
        <v>56</v>
      </c>
      <c r="E16" s="14" t="s">
        <v>191</v>
      </c>
      <c r="G16">
        <v>14</v>
      </c>
      <c r="H16" t="s">
        <v>7</v>
      </c>
      <c r="K16">
        <v>14</v>
      </c>
      <c r="L16" t="s">
        <v>7</v>
      </c>
    </row>
    <row r="17" spans="1:12">
      <c r="A17">
        <v>15</v>
      </c>
      <c r="B17" t="s">
        <v>7</v>
      </c>
      <c r="D17" s="43" t="s">
        <v>57</v>
      </c>
      <c r="E17" s="14" t="s">
        <v>192</v>
      </c>
      <c r="G17">
        <v>15</v>
      </c>
      <c r="H17" t="s">
        <v>7</v>
      </c>
      <c r="K17">
        <v>15</v>
      </c>
      <c r="L17" t="s">
        <v>7</v>
      </c>
    </row>
    <row r="18" spans="1:12">
      <c r="A18">
        <v>16</v>
      </c>
      <c r="B18" t="s">
        <v>7</v>
      </c>
      <c r="D18" s="43" t="s">
        <v>12</v>
      </c>
      <c r="E18" s="14" t="s">
        <v>191</v>
      </c>
      <c r="G18">
        <v>16</v>
      </c>
      <c r="H18" t="s">
        <v>7</v>
      </c>
      <c r="K18">
        <v>16</v>
      </c>
      <c r="L18" t="s">
        <v>7</v>
      </c>
    </row>
    <row r="19" spans="1:12">
      <c r="A19">
        <v>17</v>
      </c>
      <c r="B19" t="s">
        <v>7</v>
      </c>
      <c r="D19" s="43" t="s">
        <v>186</v>
      </c>
      <c r="E19" s="14" t="s">
        <v>191</v>
      </c>
      <c r="G19">
        <v>17</v>
      </c>
      <c r="H19" t="s">
        <v>7</v>
      </c>
      <c r="K19">
        <v>17</v>
      </c>
      <c r="L19" t="s">
        <v>7</v>
      </c>
    </row>
    <row r="20" spans="1:12">
      <c r="A20">
        <v>18</v>
      </c>
      <c r="B20" t="s">
        <v>7</v>
      </c>
      <c r="D20" s="43" t="s">
        <v>187</v>
      </c>
      <c r="E20" s="14" t="s">
        <v>191</v>
      </c>
      <c r="G20">
        <v>18</v>
      </c>
      <c r="H20" t="s">
        <v>7</v>
      </c>
      <c r="K20">
        <v>18</v>
      </c>
      <c r="L20" t="s">
        <v>7</v>
      </c>
    </row>
    <row r="21" spans="1:12">
      <c r="A21">
        <v>19</v>
      </c>
      <c r="B21" t="s">
        <v>7</v>
      </c>
      <c r="D21" s="43" t="s">
        <v>188</v>
      </c>
      <c r="E21" s="14" t="s">
        <v>191</v>
      </c>
      <c r="G21">
        <v>19</v>
      </c>
      <c r="H21" t="s">
        <v>7</v>
      </c>
      <c r="K21">
        <v>19</v>
      </c>
      <c r="L21" t="s">
        <v>7</v>
      </c>
    </row>
    <row r="22" spans="1:12">
      <c r="A22">
        <v>20</v>
      </c>
      <c r="B22" t="s">
        <v>7</v>
      </c>
      <c r="D22" s="43" t="s">
        <v>189</v>
      </c>
      <c r="E22" s="14" t="s">
        <v>191</v>
      </c>
      <c r="G22">
        <v>20</v>
      </c>
      <c r="H22" t="s">
        <v>7</v>
      </c>
      <c r="K22">
        <v>20</v>
      </c>
      <c r="L22" t="s">
        <v>7</v>
      </c>
    </row>
    <row r="23" spans="1:12">
      <c r="A23">
        <v>21</v>
      </c>
      <c r="B23" t="s">
        <v>7</v>
      </c>
      <c r="D23" s="43" t="s">
        <v>59</v>
      </c>
      <c r="E23" s="14" t="s">
        <v>191</v>
      </c>
      <c r="G23">
        <v>21</v>
      </c>
      <c r="H23" t="s">
        <v>7</v>
      </c>
      <c r="K23">
        <v>21</v>
      </c>
      <c r="L23" t="s">
        <v>7</v>
      </c>
    </row>
    <row r="24" spans="1:12">
      <c r="A24">
        <v>22</v>
      </c>
      <c r="B24" t="s">
        <v>7</v>
      </c>
      <c r="D24" s="43" t="s">
        <v>60</v>
      </c>
      <c r="E24" s="14" t="s">
        <v>191</v>
      </c>
      <c r="G24">
        <v>22</v>
      </c>
      <c r="H24" t="s">
        <v>7</v>
      </c>
      <c r="K24">
        <v>22</v>
      </c>
      <c r="L24" t="s">
        <v>7</v>
      </c>
    </row>
    <row r="25" spans="1:12">
      <c r="A25">
        <v>23</v>
      </c>
      <c r="B25" t="s">
        <v>7</v>
      </c>
      <c r="G25">
        <v>23</v>
      </c>
      <c r="H25" t="s">
        <v>7</v>
      </c>
      <c r="K25">
        <v>23</v>
      </c>
      <c r="L25" t="s">
        <v>7</v>
      </c>
    </row>
    <row r="26" spans="1:12">
      <c r="A26">
        <v>24</v>
      </c>
      <c r="B26" t="s">
        <v>7</v>
      </c>
      <c r="D26" s="13" t="s">
        <v>10</v>
      </c>
      <c r="E26" s="13" t="s">
        <v>176</v>
      </c>
      <c r="G26">
        <v>24</v>
      </c>
      <c r="H26" t="s">
        <v>7</v>
      </c>
      <c r="K26">
        <v>24</v>
      </c>
      <c r="L26" t="s">
        <v>7</v>
      </c>
    </row>
    <row r="27" spans="1:12">
      <c r="A27">
        <v>25</v>
      </c>
      <c r="B27" t="s">
        <v>7</v>
      </c>
      <c r="D27" s="43" t="s">
        <v>50</v>
      </c>
      <c r="E27" s="14" t="s">
        <v>193</v>
      </c>
      <c r="G27">
        <v>25</v>
      </c>
      <c r="H27" t="s">
        <v>7</v>
      </c>
      <c r="K27">
        <v>25</v>
      </c>
      <c r="L27" t="s">
        <v>7</v>
      </c>
    </row>
    <row r="28" spans="1:12">
      <c r="A28">
        <v>26</v>
      </c>
      <c r="B28" t="s">
        <v>7</v>
      </c>
      <c r="D28" s="43" t="s">
        <v>180</v>
      </c>
      <c r="E28" s="14" t="s">
        <v>194</v>
      </c>
      <c r="G28">
        <v>26</v>
      </c>
      <c r="H28" t="s">
        <v>7</v>
      </c>
      <c r="K28">
        <v>26</v>
      </c>
      <c r="L28" t="s">
        <v>7</v>
      </c>
    </row>
    <row r="29" spans="1:12">
      <c r="A29">
        <v>27</v>
      </c>
      <c r="B29" t="s">
        <v>7</v>
      </c>
      <c r="D29" s="43" t="s">
        <v>181</v>
      </c>
      <c r="E29" s="14" t="s">
        <v>195</v>
      </c>
      <c r="G29">
        <v>27</v>
      </c>
      <c r="H29" t="s">
        <v>7</v>
      </c>
      <c r="K29">
        <v>27</v>
      </c>
      <c r="L29" t="s">
        <v>7</v>
      </c>
    </row>
    <row r="30" spans="1:12">
      <c r="A30">
        <v>28</v>
      </c>
      <c r="B30" t="s">
        <v>7</v>
      </c>
      <c r="D30" s="43" t="s">
        <v>182</v>
      </c>
      <c r="E30" s="14" t="s">
        <v>196</v>
      </c>
      <c r="G30">
        <v>28</v>
      </c>
      <c r="H30" t="s">
        <v>7</v>
      </c>
      <c r="K30">
        <v>28</v>
      </c>
      <c r="L30" t="s">
        <v>7</v>
      </c>
    </row>
    <row r="31" spans="1:12">
      <c r="A31">
        <v>29</v>
      </c>
      <c r="B31" t="s">
        <v>7</v>
      </c>
      <c r="D31" s="43" t="s">
        <v>183</v>
      </c>
      <c r="E31" s="14" t="s">
        <v>197</v>
      </c>
      <c r="G31">
        <v>29</v>
      </c>
      <c r="H31" t="s">
        <v>7</v>
      </c>
      <c r="K31">
        <v>29</v>
      </c>
      <c r="L31" t="s">
        <v>7</v>
      </c>
    </row>
    <row r="32" spans="1:12">
      <c r="A32">
        <v>30</v>
      </c>
      <c r="B32" t="s">
        <v>7</v>
      </c>
      <c r="D32" s="43" t="s">
        <v>184</v>
      </c>
      <c r="E32" s="14" t="s">
        <v>198</v>
      </c>
      <c r="G32">
        <v>30</v>
      </c>
      <c r="H32" t="s">
        <v>7</v>
      </c>
      <c r="K32">
        <v>30</v>
      </c>
      <c r="L32" t="s">
        <v>7</v>
      </c>
    </row>
    <row r="33" spans="1:12">
      <c r="A33">
        <v>31</v>
      </c>
      <c r="B33" t="s">
        <v>7</v>
      </c>
      <c r="D33" s="43" t="s">
        <v>185</v>
      </c>
      <c r="E33" s="14" t="s">
        <v>199</v>
      </c>
      <c r="G33">
        <v>31</v>
      </c>
      <c r="H33" t="s">
        <v>7</v>
      </c>
      <c r="K33">
        <v>31</v>
      </c>
      <c r="L33" t="s">
        <v>7</v>
      </c>
    </row>
    <row r="34" spans="1:12">
      <c r="A34">
        <v>32</v>
      </c>
      <c r="B34" t="s">
        <v>7</v>
      </c>
      <c r="D34" s="43" t="s">
        <v>51</v>
      </c>
      <c r="E34" s="14" t="s">
        <v>200</v>
      </c>
      <c r="G34">
        <v>32</v>
      </c>
      <c r="H34" t="s">
        <v>7</v>
      </c>
      <c r="K34">
        <v>32</v>
      </c>
      <c r="L34" t="s">
        <v>7</v>
      </c>
    </row>
    <row r="35" spans="1:12">
      <c r="A35">
        <v>33</v>
      </c>
      <c r="B35" t="s">
        <v>7</v>
      </c>
      <c r="D35" s="43" t="s">
        <v>129</v>
      </c>
      <c r="E35" s="14" t="s">
        <v>201</v>
      </c>
      <c r="G35">
        <v>33</v>
      </c>
      <c r="H35" t="s">
        <v>7</v>
      </c>
      <c r="K35">
        <v>33</v>
      </c>
      <c r="L35" t="s">
        <v>7</v>
      </c>
    </row>
    <row r="36" spans="1:12">
      <c r="A36">
        <v>34</v>
      </c>
      <c r="B36" t="s">
        <v>7</v>
      </c>
      <c r="D36" s="43" t="s">
        <v>52</v>
      </c>
      <c r="E36" s="14" t="s">
        <v>202</v>
      </c>
      <c r="G36">
        <v>34</v>
      </c>
      <c r="H36" t="s">
        <v>7</v>
      </c>
      <c r="K36">
        <v>34</v>
      </c>
      <c r="L36" t="s">
        <v>7</v>
      </c>
    </row>
    <row r="37" spans="1:12">
      <c r="A37">
        <v>35</v>
      </c>
      <c r="B37" t="s">
        <v>7</v>
      </c>
      <c r="D37" s="43" t="s">
        <v>53</v>
      </c>
      <c r="E37" s="14" t="s">
        <v>203</v>
      </c>
      <c r="G37">
        <v>35</v>
      </c>
      <c r="H37" t="s">
        <v>7</v>
      </c>
      <c r="K37">
        <v>35</v>
      </c>
      <c r="L37" t="s">
        <v>7</v>
      </c>
    </row>
    <row r="38" spans="1:12">
      <c r="A38">
        <v>36</v>
      </c>
      <c r="B38" t="s">
        <v>7</v>
      </c>
      <c r="D38" s="43" t="s">
        <v>54</v>
      </c>
      <c r="E38" s="14" t="s">
        <v>204</v>
      </c>
      <c r="G38">
        <v>36</v>
      </c>
      <c r="H38" t="s">
        <v>7</v>
      </c>
      <c r="K38">
        <v>36</v>
      </c>
      <c r="L38" t="s">
        <v>7</v>
      </c>
    </row>
    <row r="39" spans="1:12">
      <c r="A39">
        <v>37</v>
      </c>
      <c r="B39" t="s">
        <v>7</v>
      </c>
      <c r="D39" s="43" t="s">
        <v>55</v>
      </c>
      <c r="E39" s="14" t="s">
        <v>205</v>
      </c>
      <c r="G39">
        <v>37</v>
      </c>
      <c r="H39" t="s">
        <v>7</v>
      </c>
      <c r="K39">
        <v>37</v>
      </c>
      <c r="L39" t="s">
        <v>7</v>
      </c>
    </row>
    <row r="40" spans="1:12">
      <c r="A40">
        <v>38</v>
      </c>
      <c r="B40" t="s">
        <v>7</v>
      </c>
      <c r="D40" s="43" t="s">
        <v>56</v>
      </c>
      <c r="E40" s="14" t="s">
        <v>205</v>
      </c>
      <c r="G40">
        <v>38</v>
      </c>
      <c r="H40" t="s">
        <v>7</v>
      </c>
      <c r="K40">
        <v>38</v>
      </c>
      <c r="L40" t="s">
        <v>7</v>
      </c>
    </row>
    <row r="41" spans="1:12">
      <c r="A41">
        <v>39</v>
      </c>
      <c r="B41" t="s">
        <v>7</v>
      </c>
      <c r="D41" s="43" t="s">
        <v>57</v>
      </c>
      <c r="E41" s="14" t="s">
        <v>206</v>
      </c>
      <c r="G41">
        <v>39</v>
      </c>
      <c r="H41" t="s">
        <v>7</v>
      </c>
      <c r="K41">
        <v>39</v>
      </c>
      <c r="L41" t="s">
        <v>7</v>
      </c>
    </row>
    <row r="42" spans="1:12">
      <c r="A42">
        <v>40</v>
      </c>
      <c r="B42" t="s">
        <v>7</v>
      </c>
      <c r="D42" s="43" t="s">
        <v>12</v>
      </c>
      <c r="E42" s="14" t="s">
        <v>203</v>
      </c>
      <c r="G42">
        <v>40</v>
      </c>
      <c r="H42" t="s">
        <v>7</v>
      </c>
      <c r="K42">
        <v>40</v>
      </c>
      <c r="L42" t="s">
        <v>7</v>
      </c>
    </row>
    <row r="43" spans="1:12">
      <c r="A43">
        <v>41</v>
      </c>
      <c r="B43" t="s">
        <v>7</v>
      </c>
      <c r="D43" s="43" t="s">
        <v>186</v>
      </c>
      <c r="E43" s="14" t="s">
        <v>207</v>
      </c>
      <c r="G43">
        <v>41</v>
      </c>
      <c r="H43" t="s">
        <v>7</v>
      </c>
      <c r="K43">
        <v>41</v>
      </c>
      <c r="L43" t="s">
        <v>7</v>
      </c>
    </row>
    <row r="44" spans="1:12">
      <c r="A44">
        <v>42</v>
      </c>
      <c r="B44" t="s">
        <v>7</v>
      </c>
      <c r="D44" s="43" t="s">
        <v>187</v>
      </c>
      <c r="E44" s="14" t="s">
        <v>208</v>
      </c>
      <c r="G44">
        <v>42</v>
      </c>
      <c r="H44" t="s">
        <v>7</v>
      </c>
      <c r="K44">
        <v>42</v>
      </c>
      <c r="L44" t="s">
        <v>7</v>
      </c>
    </row>
    <row r="45" spans="1:12">
      <c r="A45">
        <v>43</v>
      </c>
      <c r="B45" t="s">
        <v>7</v>
      </c>
      <c r="D45" s="43" t="s">
        <v>188</v>
      </c>
      <c r="E45" s="14" t="s">
        <v>209</v>
      </c>
      <c r="G45">
        <v>43</v>
      </c>
      <c r="H45" t="s">
        <v>7</v>
      </c>
      <c r="K45">
        <v>43</v>
      </c>
      <c r="L45" t="s">
        <v>7</v>
      </c>
    </row>
    <row r="46" spans="1:12">
      <c r="A46">
        <v>44</v>
      </c>
      <c r="B46" t="s">
        <v>7</v>
      </c>
      <c r="D46" s="43" t="s">
        <v>189</v>
      </c>
      <c r="E46" s="14" t="s">
        <v>210</v>
      </c>
      <c r="G46">
        <v>44</v>
      </c>
      <c r="H46" t="s">
        <v>7</v>
      </c>
      <c r="K46">
        <v>44</v>
      </c>
      <c r="L46" t="s">
        <v>7</v>
      </c>
    </row>
    <row r="47" spans="1:12">
      <c r="A47">
        <v>45</v>
      </c>
      <c r="B47" t="s">
        <v>7</v>
      </c>
      <c r="D47" s="43" t="s">
        <v>59</v>
      </c>
      <c r="E47" s="14" t="s">
        <v>211</v>
      </c>
      <c r="G47">
        <v>45</v>
      </c>
      <c r="H47" t="s">
        <v>7</v>
      </c>
      <c r="K47">
        <v>45</v>
      </c>
      <c r="L47" t="s">
        <v>7</v>
      </c>
    </row>
    <row r="48" spans="1:12">
      <c r="A48">
        <v>46</v>
      </c>
      <c r="B48" t="s">
        <v>7</v>
      </c>
      <c r="D48" s="43" t="s">
        <v>60</v>
      </c>
      <c r="E48" s="14" t="s">
        <v>212</v>
      </c>
      <c r="G48">
        <v>46</v>
      </c>
      <c r="H48" t="s">
        <v>7</v>
      </c>
      <c r="K48">
        <v>46</v>
      </c>
      <c r="L48" t="s">
        <v>7</v>
      </c>
    </row>
    <row r="49" spans="1:12">
      <c r="A49">
        <v>47</v>
      </c>
      <c r="B49" t="s">
        <v>7</v>
      </c>
      <c r="G49">
        <v>47</v>
      </c>
      <c r="H49" t="s">
        <v>7</v>
      </c>
      <c r="K49">
        <v>47</v>
      </c>
      <c r="L49" t="s">
        <v>7</v>
      </c>
    </row>
    <row r="50" spans="1:12">
      <c r="A50">
        <v>48</v>
      </c>
      <c r="B50" t="s">
        <v>8</v>
      </c>
      <c r="D50" s="13" t="s">
        <v>10</v>
      </c>
      <c r="E50" s="13" t="s">
        <v>177</v>
      </c>
      <c r="G50">
        <v>48</v>
      </c>
      <c r="H50" t="s">
        <v>7</v>
      </c>
      <c r="K50">
        <v>48</v>
      </c>
      <c r="L50" t="s">
        <v>7</v>
      </c>
    </row>
    <row r="51" spans="1:12">
      <c r="A51">
        <v>49</v>
      </c>
      <c r="B51" t="s">
        <v>8</v>
      </c>
      <c r="D51" s="43" t="s">
        <v>50</v>
      </c>
      <c r="E51" s="14" t="s">
        <v>213</v>
      </c>
      <c r="G51">
        <v>49</v>
      </c>
      <c r="H51" t="s">
        <v>7</v>
      </c>
      <c r="K51">
        <v>49</v>
      </c>
      <c r="L51" t="s">
        <v>7</v>
      </c>
    </row>
    <row r="52" spans="1:12">
      <c r="A52">
        <v>50</v>
      </c>
      <c r="B52" t="s">
        <v>8</v>
      </c>
      <c r="D52" s="43" t="s">
        <v>180</v>
      </c>
      <c r="E52" s="14" t="s">
        <v>213</v>
      </c>
      <c r="G52">
        <v>50</v>
      </c>
      <c r="H52" t="s">
        <v>7</v>
      </c>
      <c r="K52">
        <v>50</v>
      </c>
      <c r="L52" t="s">
        <v>7</v>
      </c>
    </row>
    <row r="53" spans="1:12">
      <c r="A53">
        <v>51</v>
      </c>
      <c r="B53" t="s">
        <v>8</v>
      </c>
      <c r="D53" s="43" t="s">
        <v>181</v>
      </c>
      <c r="E53" s="14" t="s">
        <v>214</v>
      </c>
      <c r="G53">
        <v>51</v>
      </c>
      <c r="H53" t="s">
        <v>7</v>
      </c>
      <c r="K53">
        <v>51</v>
      </c>
      <c r="L53" t="s">
        <v>7</v>
      </c>
    </row>
    <row r="54" spans="1:12">
      <c r="A54">
        <v>52</v>
      </c>
      <c r="B54" t="s">
        <v>8</v>
      </c>
      <c r="D54" s="43" t="s">
        <v>182</v>
      </c>
      <c r="E54" s="14" t="s">
        <v>213</v>
      </c>
      <c r="G54">
        <v>52</v>
      </c>
      <c r="H54" t="s">
        <v>7</v>
      </c>
      <c r="K54">
        <v>52</v>
      </c>
      <c r="L54" t="s">
        <v>7</v>
      </c>
    </row>
    <row r="55" spans="1:12">
      <c r="A55">
        <v>53</v>
      </c>
      <c r="B55" t="s">
        <v>8</v>
      </c>
      <c r="D55" s="43" t="s">
        <v>183</v>
      </c>
      <c r="E55" s="14" t="s">
        <v>215</v>
      </c>
      <c r="G55">
        <v>53</v>
      </c>
      <c r="H55" t="s">
        <v>7</v>
      </c>
      <c r="K55">
        <v>53</v>
      </c>
      <c r="L55" t="s">
        <v>7</v>
      </c>
    </row>
    <row r="56" spans="1:12">
      <c r="A56">
        <v>54</v>
      </c>
      <c r="B56" t="s">
        <v>8</v>
      </c>
      <c r="D56" s="43" t="s">
        <v>184</v>
      </c>
      <c r="E56" s="14" t="s">
        <v>213</v>
      </c>
      <c r="G56">
        <v>54</v>
      </c>
      <c r="H56" t="s">
        <v>7</v>
      </c>
      <c r="K56">
        <v>54</v>
      </c>
      <c r="L56" t="s">
        <v>7</v>
      </c>
    </row>
    <row r="57" spans="1:12">
      <c r="A57">
        <v>55</v>
      </c>
      <c r="B57" t="s">
        <v>8</v>
      </c>
      <c r="D57" s="43" t="s">
        <v>185</v>
      </c>
      <c r="E57" s="14" t="s">
        <v>213</v>
      </c>
      <c r="G57">
        <v>55</v>
      </c>
      <c r="H57" t="s">
        <v>7</v>
      </c>
      <c r="K57">
        <v>55</v>
      </c>
      <c r="L57" t="s">
        <v>7</v>
      </c>
    </row>
    <row r="58" spans="1:12">
      <c r="A58">
        <v>56</v>
      </c>
      <c r="B58" t="s">
        <v>8</v>
      </c>
      <c r="D58" s="43" t="s">
        <v>51</v>
      </c>
      <c r="E58" s="14" t="s">
        <v>213</v>
      </c>
      <c r="G58">
        <v>56</v>
      </c>
      <c r="H58" t="s">
        <v>7</v>
      </c>
      <c r="K58">
        <v>56</v>
      </c>
      <c r="L58" t="s">
        <v>7</v>
      </c>
    </row>
    <row r="59" spans="1:12">
      <c r="A59">
        <v>57</v>
      </c>
      <c r="B59" t="s">
        <v>8</v>
      </c>
      <c r="D59" s="43" t="s">
        <v>129</v>
      </c>
      <c r="E59" s="14" t="s">
        <v>213</v>
      </c>
      <c r="G59">
        <v>57</v>
      </c>
      <c r="H59" t="s">
        <v>7</v>
      </c>
      <c r="K59">
        <v>57</v>
      </c>
      <c r="L59" t="s">
        <v>7</v>
      </c>
    </row>
    <row r="60" spans="1:12">
      <c r="A60">
        <v>58</v>
      </c>
      <c r="B60" t="s">
        <v>8</v>
      </c>
      <c r="D60" s="43" t="s">
        <v>52</v>
      </c>
      <c r="E60" s="14" t="s">
        <v>213</v>
      </c>
      <c r="G60">
        <v>58</v>
      </c>
      <c r="H60" t="s">
        <v>7</v>
      </c>
      <c r="K60">
        <v>58</v>
      </c>
      <c r="L60" t="s">
        <v>7</v>
      </c>
    </row>
    <row r="61" spans="1:12">
      <c r="A61">
        <v>59</v>
      </c>
      <c r="B61" t="s">
        <v>8</v>
      </c>
      <c r="D61" s="43" t="s">
        <v>53</v>
      </c>
      <c r="E61" s="14" t="s">
        <v>216</v>
      </c>
      <c r="G61">
        <v>59</v>
      </c>
      <c r="H61" t="s">
        <v>7</v>
      </c>
      <c r="K61">
        <v>59</v>
      </c>
      <c r="L61" t="s">
        <v>7</v>
      </c>
    </row>
    <row r="62" spans="1:12">
      <c r="A62">
        <v>60</v>
      </c>
      <c r="B62" t="s">
        <v>8</v>
      </c>
      <c r="D62" s="43" t="s">
        <v>54</v>
      </c>
      <c r="E62" s="14" t="s">
        <v>213</v>
      </c>
      <c r="G62">
        <v>60</v>
      </c>
      <c r="H62" t="s">
        <v>7</v>
      </c>
      <c r="K62">
        <v>60</v>
      </c>
      <c r="L62" t="s">
        <v>7</v>
      </c>
    </row>
    <row r="63" spans="1:12">
      <c r="A63">
        <v>61</v>
      </c>
      <c r="B63" t="s">
        <v>8</v>
      </c>
      <c r="D63" s="43" t="s">
        <v>55</v>
      </c>
      <c r="E63" s="14" t="s">
        <v>213</v>
      </c>
      <c r="G63">
        <v>61</v>
      </c>
      <c r="H63" t="s">
        <v>7</v>
      </c>
      <c r="K63">
        <v>61</v>
      </c>
      <c r="L63" t="s">
        <v>7</v>
      </c>
    </row>
    <row r="64" spans="1:12">
      <c r="A64">
        <v>62</v>
      </c>
      <c r="B64" t="s">
        <v>8</v>
      </c>
      <c r="D64" s="43" t="s">
        <v>56</v>
      </c>
      <c r="E64" s="14" t="s">
        <v>217</v>
      </c>
      <c r="G64">
        <v>62</v>
      </c>
      <c r="H64" t="s">
        <v>7</v>
      </c>
      <c r="K64">
        <v>62</v>
      </c>
      <c r="L64" t="s">
        <v>7</v>
      </c>
    </row>
    <row r="65" spans="1:12">
      <c r="A65">
        <v>63</v>
      </c>
      <c r="B65" t="s">
        <v>8</v>
      </c>
      <c r="D65" s="43" t="s">
        <v>57</v>
      </c>
      <c r="E65" s="14" t="s">
        <v>213</v>
      </c>
      <c r="G65">
        <v>63</v>
      </c>
      <c r="H65" t="s">
        <v>7</v>
      </c>
      <c r="K65">
        <v>63</v>
      </c>
      <c r="L65" t="s">
        <v>7</v>
      </c>
    </row>
    <row r="66" spans="1:12">
      <c r="A66">
        <v>64</v>
      </c>
      <c r="B66" t="s">
        <v>8</v>
      </c>
      <c r="D66" s="43" t="s">
        <v>12</v>
      </c>
      <c r="E66" s="14" t="s">
        <v>218</v>
      </c>
      <c r="G66">
        <v>64</v>
      </c>
      <c r="H66" t="s">
        <v>7</v>
      </c>
      <c r="K66">
        <v>64</v>
      </c>
      <c r="L66" t="s">
        <v>7</v>
      </c>
    </row>
    <row r="67" spans="1:12">
      <c r="A67">
        <v>65</v>
      </c>
      <c r="B67" t="s">
        <v>8</v>
      </c>
      <c r="D67" s="43" t="s">
        <v>186</v>
      </c>
      <c r="E67" s="14" t="s">
        <v>219</v>
      </c>
      <c r="G67">
        <v>65</v>
      </c>
      <c r="H67" t="s">
        <v>7</v>
      </c>
      <c r="K67">
        <v>65</v>
      </c>
      <c r="L67" t="s">
        <v>7</v>
      </c>
    </row>
    <row r="68" spans="1:12">
      <c r="A68">
        <v>66</v>
      </c>
      <c r="B68" t="s">
        <v>8</v>
      </c>
      <c r="D68" s="43" t="s">
        <v>187</v>
      </c>
      <c r="E68" s="14" t="s">
        <v>219</v>
      </c>
      <c r="G68">
        <v>66</v>
      </c>
      <c r="H68" t="s">
        <v>7</v>
      </c>
      <c r="K68">
        <v>66</v>
      </c>
      <c r="L68" t="s">
        <v>7</v>
      </c>
    </row>
    <row r="69" spans="1:12">
      <c r="A69">
        <v>67</v>
      </c>
      <c r="B69" t="s">
        <v>8</v>
      </c>
      <c r="D69" s="43" t="s">
        <v>188</v>
      </c>
      <c r="E69" s="14" t="s">
        <v>219</v>
      </c>
      <c r="G69">
        <v>67</v>
      </c>
      <c r="H69" t="s">
        <v>7</v>
      </c>
      <c r="K69">
        <v>67</v>
      </c>
      <c r="L69" t="s">
        <v>7</v>
      </c>
    </row>
    <row r="70" spans="1:12">
      <c r="A70">
        <v>68</v>
      </c>
      <c r="B70" t="s">
        <v>8</v>
      </c>
      <c r="D70" s="43" t="s">
        <v>189</v>
      </c>
      <c r="E70" s="14" t="s">
        <v>219</v>
      </c>
      <c r="G70">
        <v>68</v>
      </c>
      <c r="H70" t="s">
        <v>7</v>
      </c>
      <c r="K70">
        <v>68</v>
      </c>
      <c r="L70" t="s">
        <v>7</v>
      </c>
    </row>
    <row r="71" spans="1:12">
      <c r="A71">
        <v>69</v>
      </c>
      <c r="B71" t="s">
        <v>8</v>
      </c>
      <c r="D71" s="43" t="s">
        <v>59</v>
      </c>
      <c r="E71" s="14" t="s">
        <v>213</v>
      </c>
      <c r="G71">
        <v>69</v>
      </c>
      <c r="H71" t="s">
        <v>7</v>
      </c>
      <c r="K71">
        <v>69</v>
      </c>
      <c r="L71" t="s">
        <v>7</v>
      </c>
    </row>
    <row r="72" spans="1:12">
      <c r="A72">
        <v>70</v>
      </c>
      <c r="B72" t="s">
        <v>8</v>
      </c>
      <c r="D72" s="43" t="s">
        <v>60</v>
      </c>
      <c r="E72" s="14" t="s">
        <v>213</v>
      </c>
      <c r="G72">
        <v>70</v>
      </c>
      <c r="H72" t="s">
        <v>7</v>
      </c>
      <c r="K72">
        <v>70</v>
      </c>
      <c r="L72" t="s">
        <v>7</v>
      </c>
    </row>
    <row r="73" spans="1:12">
      <c r="A73">
        <v>71</v>
      </c>
      <c r="B73" t="s">
        <v>8</v>
      </c>
      <c r="G73">
        <v>71</v>
      </c>
      <c r="H73" t="s">
        <v>7</v>
      </c>
      <c r="K73">
        <v>71</v>
      </c>
      <c r="L73" t="s">
        <v>7</v>
      </c>
    </row>
    <row r="74" spans="1:12">
      <c r="A74">
        <v>72</v>
      </c>
      <c r="B74" t="s">
        <v>8</v>
      </c>
      <c r="D74" s="13" t="s">
        <v>10</v>
      </c>
      <c r="E74" s="13" t="s">
        <v>178</v>
      </c>
      <c r="G74">
        <v>72</v>
      </c>
      <c r="H74" t="s">
        <v>8</v>
      </c>
      <c r="K74">
        <v>72</v>
      </c>
      <c r="L74" t="s">
        <v>7</v>
      </c>
    </row>
    <row r="75" spans="1:12">
      <c r="A75">
        <v>73</v>
      </c>
      <c r="B75" t="s">
        <v>8</v>
      </c>
      <c r="D75" s="43" t="s">
        <v>50</v>
      </c>
      <c r="E75" s="14" t="s">
        <v>220</v>
      </c>
      <c r="G75">
        <v>73</v>
      </c>
      <c r="H75" t="s">
        <v>8</v>
      </c>
      <c r="K75">
        <v>73</v>
      </c>
      <c r="L75" t="s">
        <v>7</v>
      </c>
    </row>
    <row r="76" spans="1:12">
      <c r="A76">
        <v>74</v>
      </c>
      <c r="B76" t="s">
        <v>8</v>
      </c>
      <c r="D76" s="43" t="s">
        <v>180</v>
      </c>
      <c r="E76" s="14" t="s">
        <v>220</v>
      </c>
      <c r="G76">
        <v>74</v>
      </c>
      <c r="H76" t="s">
        <v>8</v>
      </c>
      <c r="K76">
        <v>74</v>
      </c>
      <c r="L76" t="s">
        <v>7</v>
      </c>
    </row>
    <row r="77" spans="1:12">
      <c r="A77">
        <v>75</v>
      </c>
      <c r="B77" t="s">
        <v>8</v>
      </c>
      <c r="D77" s="43" t="s">
        <v>181</v>
      </c>
      <c r="E77" s="14" t="s">
        <v>214</v>
      </c>
      <c r="G77">
        <v>75</v>
      </c>
      <c r="H77" t="s">
        <v>8</v>
      </c>
      <c r="K77">
        <v>75</v>
      </c>
      <c r="L77" t="s">
        <v>7</v>
      </c>
    </row>
    <row r="78" spans="1:12">
      <c r="A78">
        <v>76</v>
      </c>
      <c r="B78" t="s">
        <v>8</v>
      </c>
      <c r="D78" s="43" t="s">
        <v>182</v>
      </c>
      <c r="E78" s="14" t="s">
        <v>220</v>
      </c>
      <c r="G78">
        <v>76</v>
      </c>
      <c r="H78" t="s">
        <v>8</v>
      </c>
      <c r="K78">
        <v>76</v>
      </c>
      <c r="L78" t="s">
        <v>7</v>
      </c>
    </row>
    <row r="79" spans="1:12">
      <c r="A79">
        <v>77</v>
      </c>
      <c r="B79" t="s">
        <v>8</v>
      </c>
      <c r="D79" s="43" t="s">
        <v>183</v>
      </c>
      <c r="E79" s="14" t="s">
        <v>220</v>
      </c>
      <c r="G79">
        <v>77</v>
      </c>
      <c r="H79" t="s">
        <v>8</v>
      </c>
      <c r="K79">
        <v>77</v>
      </c>
      <c r="L79" t="s">
        <v>7</v>
      </c>
    </row>
    <row r="80" spans="1:12">
      <c r="A80">
        <v>78</v>
      </c>
      <c r="B80" t="s">
        <v>8</v>
      </c>
      <c r="D80" s="43" t="s">
        <v>184</v>
      </c>
      <c r="E80" s="14" t="s">
        <v>220</v>
      </c>
      <c r="G80">
        <v>78</v>
      </c>
      <c r="H80" t="s">
        <v>8</v>
      </c>
      <c r="K80">
        <v>78</v>
      </c>
      <c r="L80" t="s">
        <v>7</v>
      </c>
    </row>
    <row r="81" spans="1:12">
      <c r="A81">
        <v>79</v>
      </c>
      <c r="B81" t="s">
        <v>8</v>
      </c>
      <c r="D81" s="43" t="s">
        <v>185</v>
      </c>
      <c r="E81" s="14" t="s">
        <v>220</v>
      </c>
      <c r="G81">
        <v>79</v>
      </c>
      <c r="H81" t="s">
        <v>8</v>
      </c>
      <c r="K81">
        <v>79</v>
      </c>
      <c r="L81" t="s">
        <v>7</v>
      </c>
    </row>
    <row r="82" spans="1:12">
      <c r="A82">
        <v>80</v>
      </c>
      <c r="B82" t="s">
        <v>8</v>
      </c>
      <c r="D82" s="43" t="s">
        <v>51</v>
      </c>
      <c r="E82" s="14" t="s">
        <v>220</v>
      </c>
      <c r="G82">
        <v>80</v>
      </c>
      <c r="H82" t="s">
        <v>8</v>
      </c>
      <c r="K82">
        <v>80</v>
      </c>
      <c r="L82" t="s">
        <v>7</v>
      </c>
    </row>
    <row r="83" spans="1:12">
      <c r="A83">
        <v>81</v>
      </c>
      <c r="B83" t="s">
        <v>8</v>
      </c>
      <c r="D83" s="43" t="s">
        <v>129</v>
      </c>
      <c r="E83" s="14" t="s">
        <v>220</v>
      </c>
      <c r="G83">
        <v>81</v>
      </c>
      <c r="H83" t="s">
        <v>8</v>
      </c>
      <c r="K83">
        <v>81</v>
      </c>
      <c r="L83" t="s">
        <v>7</v>
      </c>
    </row>
    <row r="84" spans="1:12">
      <c r="A84">
        <v>82</v>
      </c>
      <c r="B84" t="s">
        <v>8</v>
      </c>
      <c r="D84" s="43" t="s">
        <v>52</v>
      </c>
      <c r="E84" s="14" t="s">
        <v>220</v>
      </c>
      <c r="G84">
        <v>82</v>
      </c>
      <c r="H84" t="s">
        <v>8</v>
      </c>
      <c r="K84">
        <v>82</v>
      </c>
      <c r="L84" t="s">
        <v>7</v>
      </c>
    </row>
    <row r="85" spans="1:12">
      <c r="A85">
        <v>83</v>
      </c>
      <c r="B85" t="s">
        <v>8</v>
      </c>
      <c r="D85" s="43" t="s">
        <v>53</v>
      </c>
      <c r="E85" s="14" t="s">
        <v>221</v>
      </c>
      <c r="F85" t="s">
        <v>222</v>
      </c>
      <c r="G85">
        <v>83</v>
      </c>
      <c r="H85" t="s">
        <v>8</v>
      </c>
      <c r="K85">
        <v>83</v>
      </c>
      <c r="L85" t="s">
        <v>7</v>
      </c>
    </row>
    <row r="86" spans="1:12">
      <c r="A86">
        <v>84</v>
      </c>
      <c r="B86" t="s">
        <v>8</v>
      </c>
      <c r="D86" s="43" t="s">
        <v>54</v>
      </c>
      <c r="E86" s="14" t="s">
        <v>220</v>
      </c>
      <c r="G86">
        <v>84</v>
      </c>
      <c r="H86" t="s">
        <v>8</v>
      </c>
      <c r="K86">
        <v>84</v>
      </c>
      <c r="L86" t="s">
        <v>7</v>
      </c>
    </row>
    <row r="87" spans="1:12">
      <c r="A87">
        <v>85</v>
      </c>
      <c r="B87" t="s">
        <v>8</v>
      </c>
      <c r="D87" s="43" t="s">
        <v>55</v>
      </c>
      <c r="E87" s="14" t="s">
        <v>220</v>
      </c>
      <c r="G87">
        <v>85</v>
      </c>
      <c r="H87" t="s">
        <v>8</v>
      </c>
      <c r="K87">
        <v>85</v>
      </c>
      <c r="L87" t="s">
        <v>7</v>
      </c>
    </row>
    <row r="88" spans="1:12">
      <c r="A88">
        <v>86</v>
      </c>
      <c r="B88" t="s">
        <v>8</v>
      </c>
      <c r="D88" s="43" t="s">
        <v>56</v>
      </c>
      <c r="E88" s="14" t="s">
        <v>223</v>
      </c>
      <c r="F88" t="s">
        <v>222</v>
      </c>
      <c r="G88">
        <v>86</v>
      </c>
      <c r="H88" t="s">
        <v>8</v>
      </c>
      <c r="K88">
        <v>86</v>
      </c>
      <c r="L88" t="s">
        <v>7</v>
      </c>
    </row>
    <row r="89" spans="1:12">
      <c r="A89">
        <v>87</v>
      </c>
      <c r="B89" t="s">
        <v>8</v>
      </c>
      <c r="D89" s="43" t="s">
        <v>57</v>
      </c>
      <c r="E89" s="14" t="s">
        <v>220</v>
      </c>
      <c r="G89">
        <v>87</v>
      </c>
      <c r="H89" t="s">
        <v>8</v>
      </c>
      <c r="K89">
        <v>87</v>
      </c>
      <c r="L89" t="s">
        <v>7</v>
      </c>
    </row>
    <row r="90" spans="1:12">
      <c r="A90">
        <v>88</v>
      </c>
      <c r="B90" t="s">
        <v>8</v>
      </c>
      <c r="D90" s="43" t="s">
        <v>12</v>
      </c>
      <c r="E90" s="14" t="s">
        <v>224</v>
      </c>
      <c r="F90" t="s">
        <v>225</v>
      </c>
      <c r="G90">
        <v>88</v>
      </c>
      <c r="H90" t="s">
        <v>8</v>
      </c>
      <c r="K90">
        <v>88</v>
      </c>
      <c r="L90" t="s">
        <v>7</v>
      </c>
    </row>
    <row r="91" spans="1:12">
      <c r="A91">
        <v>89</v>
      </c>
      <c r="B91" t="s">
        <v>8</v>
      </c>
      <c r="D91" s="43" t="s">
        <v>186</v>
      </c>
      <c r="E91" s="14" t="s">
        <v>226</v>
      </c>
      <c r="F91" t="s">
        <v>225</v>
      </c>
      <c r="G91">
        <v>89</v>
      </c>
      <c r="H91" t="s">
        <v>8</v>
      </c>
      <c r="K91">
        <v>89</v>
      </c>
      <c r="L91" t="s">
        <v>7</v>
      </c>
    </row>
    <row r="92" spans="1:12">
      <c r="A92">
        <v>90</v>
      </c>
      <c r="B92" t="s">
        <v>8</v>
      </c>
      <c r="D92" s="43" t="s">
        <v>187</v>
      </c>
      <c r="E92" s="14" t="s">
        <v>226</v>
      </c>
      <c r="F92" t="s">
        <v>225</v>
      </c>
      <c r="G92">
        <v>90</v>
      </c>
      <c r="H92" t="s">
        <v>8</v>
      </c>
      <c r="K92">
        <v>90</v>
      </c>
      <c r="L92" t="s">
        <v>7</v>
      </c>
    </row>
    <row r="93" spans="1:12">
      <c r="A93">
        <v>91</v>
      </c>
      <c r="B93" t="s">
        <v>8</v>
      </c>
      <c r="D93" s="43" t="s">
        <v>188</v>
      </c>
      <c r="E93" s="14" t="s">
        <v>226</v>
      </c>
      <c r="F93" t="s">
        <v>225</v>
      </c>
      <c r="G93">
        <v>91</v>
      </c>
      <c r="H93" t="s">
        <v>8</v>
      </c>
      <c r="K93">
        <v>91</v>
      </c>
      <c r="L93" t="s">
        <v>7</v>
      </c>
    </row>
    <row r="94" spans="1:12">
      <c r="A94">
        <v>92</v>
      </c>
      <c r="B94" t="s">
        <v>8</v>
      </c>
      <c r="D94" s="43" t="s">
        <v>189</v>
      </c>
      <c r="E94" s="14" t="s">
        <v>226</v>
      </c>
      <c r="F94" t="s">
        <v>225</v>
      </c>
      <c r="G94">
        <v>92</v>
      </c>
      <c r="H94" t="s">
        <v>8</v>
      </c>
      <c r="K94">
        <v>92</v>
      </c>
      <c r="L94" t="s">
        <v>7</v>
      </c>
    </row>
    <row r="95" spans="1:12">
      <c r="A95">
        <v>93</v>
      </c>
      <c r="B95" t="s">
        <v>8</v>
      </c>
      <c r="D95" s="43" t="s">
        <v>59</v>
      </c>
      <c r="E95" s="14" t="s">
        <v>220</v>
      </c>
      <c r="G95">
        <v>93</v>
      </c>
      <c r="H95" t="s">
        <v>8</v>
      </c>
      <c r="K95">
        <v>93</v>
      </c>
      <c r="L95" t="s">
        <v>7</v>
      </c>
    </row>
    <row r="96" spans="1:12">
      <c r="A96">
        <v>94</v>
      </c>
      <c r="B96" t="s">
        <v>8</v>
      </c>
      <c r="D96" s="43" t="s">
        <v>60</v>
      </c>
      <c r="E96" s="14" t="s">
        <v>220</v>
      </c>
      <c r="G96">
        <v>94</v>
      </c>
      <c r="H96" t="s">
        <v>8</v>
      </c>
      <c r="K96">
        <v>94</v>
      </c>
      <c r="L96" t="s">
        <v>7</v>
      </c>
    </row>
    <row r="97" spans="1:12">
      <c r="A97">
        <v>95</v>
      </c>
      <c r="B97" t="s">
        <v>8</v>
      </c>
      <c r="G97">
        <v>95</v>
      </c>
      <c r="H97" t="s">
        <v>8</v>
      </c>
      <c r="K97">
        <v>95</v>
      </c>
      <c r="L97" t="s">
        <v>7</v>
      </c>
    </row>
    <row r="98" spans="1:12">
      <c r="A98">
        <v>96</v>
      </c>
      <c r="B98" t="s">
        <v>227</v>
      </c>
      <c r="D98" s="43" t="s">
        <v>53</v>
      </c>
      <c r="E98" s="14" t="s">
        <v>222</v>
      </c>
      <c r="G98">
        <v>96</v>
      </c>
      <c r="H98" t="s">
        <v>8</v>
      </c>
      <c r="K98">
        <v>96</v>
      </c>
      <c r="L98" t="s">
        <v>8</v>
      </c>
    </row>
    <row r="99" spans="1:12">
      <c r="A99">
        <v>97</v>
      </c>
      <c r="B99" t="s">
        <v>227</v>
      </c>
      <c r="D99" s="43" t="s">
        <v>56</v>
      </c>
      <c r="E99" s="14" t="s">
        <v>222</v>
      </c>
      <c r="G99">
        <v>97</v>
      </c>
      <c r="H99" t="s">
        <v>8</v>
      </c>
      <c r="K99">
        <v>97</v>
      </c>
      <c r="L99" t="s">
        <v>8</v>
      </c>
    </row>
    <row r="100" spans="1:12">
      <c r="A100">
        <v>98</v>
      </c>
      <c r="B100" t="s">
        <v>227</v>
      </c>
      <c r="D100" s="43" t="s">
        <v>12</v>
      </c>
      <c r="E100" s="14" t="s">
        <v>225</v>
      </c>
      <c r="G100">
        <v>98</v>
      </c>
      <c r="H100" t="s">
        <v>8</v>
      </c>
      <c r="K100">
        <v>98</v>
      </c>
      <c r="L100" t="s">
        <v>8</v>
      </c>
    </row>
    <row r="101" spans="1:12">
      <c r="A101">
        <v>99</v>
      </c>
      <c r="B101" t="s">
        <v>227</v>
      </c>
      <c r="D101" s="43" t="s">
        <v>186</v>
      </c>
      <c r="E101" s="14" t="s">
        <v>225</v>
      </c>
      <c r="G101">
        <v>99</v>
      </c>
      <c r="H101" t="s">
        <v>8</v>
      </c>
      <c r="K101">
        <v>99</v>
      </c>
      <c r="L101" t="s">
        <v>8</v>
      </c>
    </row>
    <row r="102" spans="1:12">
      <c r="A102">
        <v>100</v>
      </c>
      <c r="B102" t="s">
        <v>227</v>
      </c>
      <c r="D102" s="43" t="s">
        <v>187</v>
      </c>
      <c r="E102" s="14" t="s">
        <v>225</v>
      </c>
      <c r="G102">
        <v>100</v>
      </c>
      <c r="H102" t="s">
        <v>8</v>
      </c>
      <c r="K102">
        <v>100</v>
      </c>
      <c r="L102" t="s">
        <v>8</v>
      </c>
    </row>
    <row r="103" spans="1:12">
      <c r="A103">
        <v>101</v>
      </c>
      <c r="B103" t="s">
        <v>227</v>
      </c>
      <c r="D103" s="43" t="s">
        <v>188</v>
      </c>
      <c r="E103" s="14" t="s">
        <v>225</v>
      </c>
      <c r="G103">
        <v>101</v>
      </c>
      <c r="H103" t="s">
        <v>8</v>
      </c>
      <c r="K103">
        <v>101</v>
      </c>
      <c r="L103" t="s">
        <v>8</v>
      </c>
    </row>
    <row r="104" spans="1:12">
      <c r="A104">
        <v>102</v>
      </c>
      <c r="B104" t="s">
        <v>227</v>
      </c>
      <c r="D104" s="43" t="s">
        <v>189</v>
      </c>
      <c r="E104" s="14" t="s">
        <v>225</v>
      </c>
      <c r="G104">
        <v>102</v>
      </c>
      <c r="H104" t="s">
        <v>8</v>
      </c>
      <c r="K104">
        <v>102</v>
      </c>
      <c r="L104" t="s">
        <v>8</v>
      </c>
    </row>
    <row r="105" spans="1:12">
      <c r="A105">
        <v>103</v>
      </c>
      <c r="B105" t="s">
        <v>227</v>
      </c>
      <c r="G105">
        <v>103</v>
      </c>
      <c r="H105" t="s">
        <v>8</v>
      </c>
      <c r="K105">
        <v>103</v>
      </c>
      <c r="L105" t="s">
        <v>8</v>
      </c>
    </row>
    <row r="106" spans="1:12">
      <c r="A106">
        <v>104</v>
      </c>
      <c r="B106" t="s">
        <v>227</v>
      </c>
      <c r="D106" s="16" t="s">
        <v>50</v>
      </c>
      <c r="E106">
        <v>1</v>
      </c>
      <c r="G106">
        <v>104</v>
      </c>
      <c r="H106" t="s">
        <v>8</v>
      </c>
      <c r="K106">
        <v>104</v>
      </c>
      <c r="L106" t="s">
        <v>8</v>
      </c>
    </row>
    <row r="107" spans="1:12">
      <c r="A107">
        <v>105</v>
      </c>
      <c r="B107" t="s">
        <v>227</v>
      </c>
      <c r="D107" s="16" t="s">
        <v>180</v>
      </c>
      <c r="E107">
        <v>2</v>
      </c>
      <c r="G107">
        <v>105</v>
      </c>
      <c r="H107" t="s">
        <v>8</v>
      </c>
      <c r="K107">
        <v>105</v>
      </c>
      <c r="L107" t="s">
        <v>8</v>
      </c>
    </row>
    <row r="108" spans="1:12">
      <c r="A108">
        <v>106</v>
      </c>
      <c r="B108" t="s">
        <v>227</v>
      </c>
      <c r="D108" s="16" t="s">
        <v>181</v>
      </c>
      <c r="E108">
        <v>2</v>
      </c>
      <c r="G108">
        <v>106</v>
      </c>
      <c r="H108" t="s">
        <v>8</v>
      </c>
      <c r="K108">
        <v>106</v>
      </c>
      <c r="L108" t="s">
        <v>8</v>
      </c>
    </row>
    <row r="109" spans="1:12">
      <c r="A109">
        <v>107</v>
      </c>
      <c r="B109" t="s">
        <v>227</v>
      </c>
      <c r="D109" s="16" t="s">
        <v>182</v>
      </c>
      <c r="E109">
        <v>2</v>
      </c>
      <c r="G109">
        <v>107</v>
      </c>
      <c r="H109" t="s">
        <v>8</v>
      </c>
      <c r="K109">
        <v>107</v>
      </c>
      <c r="L109" t="s">
        <v>8</v>
      </c>
    </row>
    <row r="110" spans="1:12">
      <c r="A110">
        <v>108</v>
      </c>
      <c r="B110" t="s">
        <v>227</v>
      </c>
      <c r="D110" s="16" t="s">
        <v>183</v>
      </c>
      <c r="E110">
        <v>2</v>
      </c>
      <c r="G110">
        <v>108</v>
      </c>
      <c r="H110" t="s">
        <v>8</v>
      </c>
      <c r="K110">
        <v>108</v>
      </c>
      <c r="L110" t="s">
        <v>8</v>
      </c>
    </row>
    <row r="111" spans="1:12">
      <c r="A111">
        <v>109</v>
      </c>
      <c r="B111" t="s">
        <v>227</v>
      </c>
      <c r="D111" s="16" t="s">
        <v>184</v>
      </c>
      <c r="E111">
        <v>2</v>
      </c>
      <c r="G111">
        <v>109</v>
      </c>
      <c r="H111" t="s">
        <v>8</v>
      </c>
      <c r="K111">
        <v>109</v>
      </c>
      <c r="L111" t="s">
        <v>8</v>
      </c>
    </row>
    <row r="112" spans="1:12">
      <c r="A112">
        <v>110</v>
      </c>
      <c r="B112" t="s">
        <v>227</v>
      </c>
      <c r="D112" s="16" t="s">
        <v>185</v>
      </c>
      <c r="E112">
        <v>2</v>
      </c>
      <c r="G112">
        <v>110</v>
      </c>
      <c r="H112" t="s">
        <v>8</v>
      </c>
      <c r="K112">
        <v>110</v>
      </c>
      <c r="L112" t="s">
        <v>8</v>
      </c>
    </row>
    <row r="113" spans="1:12">
      <c r="A113">
        <v>111</v>
      </c>
      <c r="B113" t="s">
        <v>227</v>
      </c>
      <c r="D113" s="16" t="s">
        <v>51</v>
      </c>
      <c r="E113">
        <v>3</v>
      </c>
      <c r="G113">
        <v>111</v>
      </c>
      <c r="H113" t="s">
        <v>8</v>
      </c>
      <c r="K113">
        <v>111</v>
      </c>
      <c r="L113" t="s">
        <v>8</v>
      </c>
    </row>
    <row r="114" spans="1:12">
      <c r="A114">
        <v>112</v>
      </c>
      <c r="B114" t="s">
        <v>227</v>
      </c>
      <c r="D114" s="16" t="s">
        <v>129</v>
      </c>
      <c r="E114">
        <v>1</v>
      </c>
      <c r="G114">
        <v>112</v>
      </c>
      <c r="H114" t="s">
        <v>8</v>
      </c>
      <c r="K114">
        <v>112</v>
      </c>
      <c r="L114" t="s">
        <v>8</v>
      </c>
    </row>
    <row r="115" spans="1:12">
      <c r="A115">
        <v>113</v>
      </c>
      <c r="B115" t="s">
        <v>227</v>
      </c>
      <c r="D115" s="16" t="s">
        <v>52</v>
      </c>
      <c r="E115">
        <v>1</v>
      </c>
      <c r="G115">
        <v>113</v>
      </c>
      <c r="H115" t="s">
        <v>8</v>
      </c>
      <c r="K115">
        <v>113</v>
      </c>
      <c r="L115" t="s">
        <v>8</v>
      </c>
    </row>
    <row r="116" spans="1:12">
      <c r="A116">
        <v>114</v>
      </c>
      <c r="B116" t="s">
        <v>228</v>
      </c>
      <c r="D116" s="16" t="s">
        <v>53</v>
      </c>
      <c r="E116">
        <v>3</v>
      </c>
      <c r="G116">
        <v>114</v>
      </c>
      <c r="H116" t="s">
        <v>8</v>
      </c>
      <c r="K116">
        <v>114</v>
      </c>
      <c r="L116" t="s">
        <v>8</v>
      </c>
    </row>
    <row r="117" spans="1:12">
      <c r="A117">
        <v>115</v>
      </c>
      <c r="B117" t="s">
        <v>228</v>
      </c>
      <c r="D117" s="16" t="s">
        <v>54</v>
      </c>
      <c r="E117">
        <v>1</v>
      </c>
      <c r="G117">
        <v>115</v>
      </c>
      <c r="H117" t="s">
        <v>8</v>
      </c>
      <c r="K117">
        <v>115</v>
      </c>
      <c r="L117" t="s">
        <v>8</v>
      </c>
    </row>
    <row r="118" spans="1:12">
      <c r="A118">
        <v>116</v>
      </c>
      <c r="B118" t="s">
        <v>228</v>
      </c>
      <c r="D118" s="16" t="s">
        <v>55</v>
      </c>
      <c r="E118">
        <v>1</v>
      </c>
      <c r="G118">
        <v>116</v>
      </c>
      <c r="H118" t="s">
        <v>8</v>
      </c>
      <c r="K118">
        <v>116</v>
      </c>
      <c r="L118" t="s">
        <v>8</v>
      </c>
    </row>
    <row r="119" spans="1:12">
      <c r="A119">
        <v>117</v>
      </c>
      <c r="B119" t="s">
        <v>228</v>
      </c>
      <c r="D119" s="16" t="s">
        <v>56</v>
      </c>
      <c r="E119">
        <v>1</v>
      </c>
      <c r="G119">
        <v>117</v>
      </c>
      <c r="H119" t="s">
        <v>8</v>
      </c>
      <c r="K119">
        <v>117</v>
      </c>
      <c r="L119" t="s">
        <v>8</v>
      </c>
    </row>
    <row r="120" spans="1:12">
      <c r="A120">
        <v>118</v>
      </c>
      <c r="B120" t="s">
        <v>228</v>
      </c>
      <c r="D120" s="16" t="s">
        <v>57</v>
      </c>
      <c r="E120">
        <v>4</v>
      </c>
      <c r="G120">
        <v>118</v>
      </c>
      <c r="H120" t="s">
        <v>8</v>
      </c>
      <c r="K120">
        <v>118</v>
      </c>
      <c r="L120" t="s">
        <v>8</v>
      </c>
    </row>
    <row r="121" spans="1:12">
      <c r="A121">
        <v>119</v>
      </c>
      <c r="B121" t="s">
        <v>228</v>
      </c>
      <c r="D121" s="16" t="s">
        <v>12</v>
      </c>
      <c r="E121">
        <v>3</v>
      </c>
      <c r="G121">
        <v>119</v>
      </c>
      <c r="H121" t="s">
        <v>8</v>
      </c>
      <c r="K121">
        <v>119</v>
      </c>
      <c r="L121" t="s">
        <v>8</v>
      </c>
    </row>
    <row r="122" spans="1:12">
      <c r="A122">
        <v>120</v>
      </c>
      <c r="B122" t="s">
        <v>228</v>
      </c>
      <c r="D122" s="57" t="s">
        <v>186</v>
      </c>
      <c r="E122">
        <v>1</v>
      </c>
      <c r="G122">
        <v>120</v>
      </c>
      <c r="H122" t="s">
        <v>8</v>
      </c>
      <c r="K122">
        <v>120</v>
      </c>
      <c r="L122" t="s">
        <v>8</v>
      </c>
    </row>
    <row r="123" spans="1:12">
      <c r="A123">
        <v>121</v>
      </c>
      <c r="B123" t="s">
        <v>228</v>
      </c>
      <c r="D123" s="57" t="s">
        <v>187</v>
      </c>
      <c r="E123">
        <v>1</v>
      </c>
      <c r="G123">
        <v>121</v>
      </c>
      <c r="H123" t="s">
        <v>8</v>
      </c>
      <c r="K123">
        <v>121</v>
      </c>
      <c r="L123" t="s">
        <v>8</v>
      </c>
    </row>
    <row r="124" spans="1:12">
      <c r="A124">
        <v>122</v>
      </c>
      <c r="B124" t="s">
        <v>228</v>
      </c>
      <c r="D124" s="57" t="s">
        <v>188</v>
      </c>
      <c r="E124">
        <v>1</v>
      </c>
      <c r="G124">
        <v>122</v>
      </c>
      <c r="H124" t="s">
        <v>8</v>
      </c>
      <c r="K124">
        <v>122</v>
      </c>
      <c r="L124" t="s">
        <v>8</v>
      </c>
    </row>
    <row r="125" spans="1:12">
      <c r="A125">
        <v>123</v>
      </c>
      <c r="B125" t="s">
        <v>228</v>
      </c>
      <c r="D125" s="57" t="s">
        <v>189</v>
      </c>
      <c r="E125">
        <v>1</v>
      </c>
      <c r="G125">
        <v>123</v>
      </c>
      <c r="H125" t="s">
        <v>8</v>
      </c>
      <c r="K125">
        <v>123</v>
      </c>
      <c r="L125" t="s">
        <v>8</v>
      </c>
    </row>
    <row r="126" spans="1:12">
      <c r="A126">
        <v>124</v>
      </c>
      <c r="B126" t="s">
        <v>228</v>
      </c>
      <c r="D126" s="16" t="s">
        <v>59</v>
      </c>
      <c r="E126">
        <v>3</v>
      </c>
      <c r="G126">
        <v>124</v>
      </c>
      <c r="H126" t="s">
        <v>8</v>
      </c>
      <c r="K126">
        <v>124</v>
      </c>
      <c r="L126" t="s">
        <v>8</v>
      </c>
    </row>
    <row r="127" spans="1:12">
      <c r="A127">
        <v>125</v>
      </c>
      <c r="B127" t="s">
        <v>228</v>
      </c>
      <c r="D127" s="16" t="s">
        <v>60</v>
      </c>
      <c r="E127">
        <v>1</v>
      </c>
      <c r="G127">
        <v>125</v>
      </c>
      <c r="H127" t="s">
        <v>8</v>
      </c>
      <c r="K127">
        <v>125</v>
      </c>
      <c r="L127" t="s">
        <v>8</v>
      </c>
    </row>
    <row r="128" spans="1:12">
      <c r="A128">
        <v>126</v>
      </c>
      <c r="B128" t="s">
        <v>228</v>
      </c>
      <c r="G128">
        <v>126</v>
      </c>
      <c r="H128" t="s">
        <v>8</v>
      </c>
      <c r="K128">
        <v>126</v>
      </c>
      <c r="L128" t="s">
        <v>8</v>
      </c>
    </row>
    <row r="129" spans="1:12">
      <c r="A129">
        <v>127</v>
      </c>
      <c r="B129" t="s">
        <v>228</v>
      </c>
      <c r="G129">
        <v>127</v>
      </c>
      <c r="H129" t="s">
        <v>8</v>
      </c>
      <c r="K129">
        <v>127</v>
      </c>
      <c r="L129" t="s">
        <v>8</v>
      </c>
    </row>
    <row r="130" spans="1:12">
      <c r="A130">
        <v>128</v>
      </c>
      <c r="B130" t="s">
        <v>228</v>
      </c>
      <c r="G130">
        <v>128</v>
      </c>
      <c r="H130" t="s">
        <v>8</v>
      </c>
      <c r="K130">
        <v>128</v>
      </c>
      <c r="L130" t="s">
        <v>8</v>
      </c>
    </row>
    <row r="131" spans="1:12">
      <c r="A131">
        <v>129</v>
      </c>
      <c r="B131" t="s">
        <v>228</v>
      </c>
      <c r="G131">
        <v>129</v>
      </c>
      <c r="H131" t="s">
        <v>8</v>
      </c>
      <c r="K131">
        <v>129</v>
      </c>
      <c r="L131" t="s">
        <v>8</v>
      </c>
    </row>
    <row r="132" spans="1:12">
      <c r="A132">
        <v>130</v>
      </c>
      <c r="B132" t="s">
        <v>228</v>
      </c>
      <c r="G132">
        <v>130</v>
      </c>
      <c r="H132" t="s">
        <v>8</v>
      </c>
      <c r="K132">
        <v>130</v>
      </c>
      <c r="L132" t="s">
        <v>8</v>
      </c>
    </row>
    <row r="133" spans="1:12">
      <c r="A133">
        <v>131</v>
      </c>
      <c r="B133" t="s">
        <v>228</v>
      </c>
      <c r="G133">
        <v>131</v>
      </c>
      <c r="H133" t="s">
        <v>8</v>
      </c>
      <c r="K133">
        <v>131</v>
      </c>
      <c r="L133" t="s">
        <v>8</v>
      </c>
    </row>
    <row r="134" spans="1:12">
      <c r="A134">
        <v>132</v>
      </c>
      <c r="B134" t="s">
        <v>229</v>
      </c>
      <c r="G134">
        <v>132</v>
      </c>
      <c r="H134" t="s">
        <v>8</v>
      </c>
      <c r="K134">
        <v>132</v>
      </c>
      <c r="L134" t="s">
        <v>8</v>
      </c>
    </row>
    <row r="135" spans="1:12">
      <c r="A135">
        <v>133</v>
      </c>
      <c r="B135" t="s">
        <v>229</v>
      </c>
      <c r="G135">
        <v>133</v>
      </c>
      <c r="H135" t="s">
        <v>8</v>
      </c>
      <c r="K135">
        <v>133</v>
      </c>
      <c r="L135" t="s">
        <v>8</v>
      </c>
    </row>
    <row r="136" spans="1:12">
      <c r="A136">
        <v>134</v>
      </c>
      <c r="B136" t="s">
        <v>229</v>
      </c>
      <c r="G136">
        <v>134</v>
      </c>
      <c r="H136" t="s">
        <v>8</v>
      </c>
      <c r="K136">
        <v>134</v>
      </c>
      <c r="L136" t="s">
        <v>8</v>
      </c>
    </row>
    <row r="137" spans="1:12">
      <c r="A137">
        <v>135</v>
      </c>
      <c r="B137" t="s">
        <v>229</v>
      </c>
      <c r="G137">
        <v>135</v>
      </c>
      <c r="H137" t="s">
        <v>8</v>
      </c>
      <c r="K137">
        <v>135</v>
      </c>
      <c r="L137" t="s">
        <v>8</v>
      </c>
    </row>
    <row r="138" spans="1:12">
      <c r="A138">
        <v>136</v>
      </c>
      <c r="B138" t="s">
        <v>229</v>
      </c>
      <c r="G138">
        <v>136</v>
      </c>
      <c r="H138" t="s">
        <v>8</v>
      </c>
      <c r="K138">
        <v>136</v>
      </c>
      <c r="L138" t="s">
        <v>8</v>
      </c>
    </row>
    <row r="139" spans="1:12">
      <c r="A139">
        <v>137</v>
      </c>
      <c r="B139" t="s">
        <v>229</v>
      </c>
      <c r="G139">
        <v>137</v>
      </c>
      <c r="H139" t="s">
        <v>8</v>
      </c>
      <c r="K139">
        <v>137</v>
      </c>
      <c r="L139" t="s">
        <v>8</v>
      </c>
    </row>
    <row r="140" spans="1:12">
      <c r="A140">
        <v>138</v>
      </c>
      <c r="B140" t="s">
        <v>229</v>
      </c>
      <c r="G140">
        <v>138</v>
      </c>
      <c r="H140" t="s">
        <v>8</v>
      </c>
      <c r="K140">
        <v>138</v>
      </c>
      <c r="L140" t="s">
        <v>8</v>
      </c>
    </row>
    <row r="141" spans="1:12">
      <c r="A141">
        <v>139</v>
      </c>
      <c r="B141" t="s">
        <v>229</v>
      </c>
      <c r="G141">
        <v>139</v>
      </c>
      <c r="H141" t="s">
        <v>8</v>
      </c>
      <c r="K141">
        <v>139</v>
      </c>
      <c r="L141" t="s">
        <v>8</v>
      </c>
    </row>
    <row r="142" spans="1:12">
      <c r="A142">
        <v>140</v>
      </c>
      <c r="B142" t="s">
        <v>229</v>
      </c>
      <c r="G142">
        <v>140</v>
      </c>
      <c r="H142" t="s">
        <v>8</v>
      </c>
      <c r="K142">
        <v>140</v>
      </c>
      <c r="L142" t="s">
        <v>8</v>
      </c>
    </row>
    <row r="143" spans="1:12">
      <c r="A143">
        <v>141</v>
      </c>
      <c r="B143" t="s">
        <v>229</v>
      </c>
      <c r="G143">
        <v>141</v>
      </c>
      <c r="H143" t="s">
        <v>8</v>
      </c>
      <c r="K143">
        <v>141</v>
      </c>
      <c r="L143" t="s">
        <v>8</v>
      </c>
    </row>
    <row r="144" spans="1:12">
      <c r="A144">
        <v>142</v>
      </c>
      <c r="B144" t="s">
        <v>229</v>
      </c>
      <c r="G144">
        <v>142</v>
      </c>
      <c r="H144" t="s">
        <v>8</v>
      </c>
      <c r="K144">
        <v>142</v>
      </c>
      <c r="L144" t="s">
        <v>8</v>
      </c>
    </row>
    <row r="145" spans="1:12">
      <c r="A145">
        <v>143</v>
      </c>
      <c r="B145" t="s">
        <v>229</v>
      </c>
      <c r="G145">
        <v>143</v>
      </c>
      <c r="H145" t="s">
        <v>8</v>
      </c>
      <c r="K145">
        <v>143</v>
      </c>
      <c r="L145" t="s">
        <v>8</v>
      </c>
    </row>
    <row r="146" spans="1:12">
      <c r="A146">
        <v>144</v>
      </c>
      <c r="B146" t="s">
        <v>229</v>
      </c>
      <c r="G146">
        <v>144</v>
      </c>
      <c r="H146" t="s">
        <v>227</v>
      </c>
      <c r="K146">
        <v>144</v>
      </c>
      <c r="L146" t="s">
        <v>8</v>
      </c>
    </row>
    <row r="147" spans="1:12">
      <c r="A147">
        <v>145</v>
      </c>
      <c r="B147" t="s">
        <v>229</v>
      </c>
      <c r="G147">
        <v>145</v>
      </c>
      <c r="H147" t="s">
        <v>227</v>
      </c>
      <c r="K147">
        <v>145</v>
      </c>
      <c r="L147" t="s">
        <v>8</v>
      </c>
    </row>
    <row r="148" spans="1:12">
      <c r="A148">
        <v>146</v>
      </c>
      <c r="B148" t="s">
        <v>229</v>
      </c>
      <c r="G148">
        <v>146</v>
      </c>
      <c r="H148" t="s">
        <v>227</v>
      </c>
      <c r="K148">
        <v>146</v>
      </c>
      <c r="L148" t="s">
        <v>8</v>
      </c>
    </row>
    <row r="149" spans="1:12">
      <c r="A149">
        <v>147</v>
      </c>
      <c r="B149" t="s">
        <v>229</v>
      </c>
      <c r="G149">
        <v>147</v>
      </c>
      <c r="H149" t="s">
        <v>227</v>
      </c>
      <c r="K149">
        <v>147</v>
      </c>
      <c r="L149" t="s">
        <v>8</v>
      </c>
    </row>
    <row r="150" spans="1:12">
      <c r="A150">
        <v>148</v>
      </c>
      <c r="B150" t="s">
        <v>229</v>
      </c>
      <c r="G150">
        <v>148</v>
      </c>
      <c r="H150" t="s">
        <v>227</v>
      </c>
      <c r="K150">
        <v>148</v>
      </c>
      <c r="L150" t="s">
        <v>8</v>
      </c>
    </row>
    <row r="151" spans="1:12">
      <c r="A151">
        <v>149</v>
      </c>
      <c r="B151" t="s">
        <v>229</v>
      </c>
      <c r="G151">
        <v>149</v>
      </c>
      <c r="H151" t="s">
        <v>227</v>
      </c>
      <c r="K151">
        <v>149</v>
      </c>
      <c r="L151" t="s">
        <v>8</v>
      </c>
    </row>
    <row r="152" spans="1:12">
      <c r="A152">
        <v>150</v>
      </c>
      <c r="B152" t="s">
        <v>230</v>
      </c>
      <c r="G152">
        <v>150</v>
      </c>
      <c r="H152" t="s">
        <v>227</v>
      </c>
      <c r="K152">
        <v>150</v>
      </c>
      <c r="L152" t="s">
        <v>8</v>
      </c>
    </row>
    <row r="153" spans="1:12">
      <c r="A153">
        <v>151</v>
      </c>
      <c r="B153" t="s">
        <v>230</v>
      </c>
      <c r="G153">
        <v>151</v>
      </c>
      <c r="H153" t="s">
        <v>227</v>
      </c>
      <c r="K153">
        <v>151</v>
      </c>
      <c r="L153" t="s">
        <v>8</v>
      </c>
    </row>
    <row r="154" spans="1:12">
      <c r="A154">
        <v>152</v>
      </c>
      <c r="B154" t="s">
        <v>230</v>
      </c>
      <c r="G154">
        <v>152</v>
      </c>
      <c r="H154" t="s">
        <v>227</v>
      </c>
      <c r="K154">
        <v>152</v>
      </c>
      <c r="L154" t="s">
        <v>8</v>
      </c>
    </row>
    <row r="155" spans="1:12">
      <c r="A155">
        <v>153</v>
      </c>
      <c r="B155" t="s">
        <v>230</v>
      </c>
      <c r="G155">
        <v>153</v>
      </c>
      <c r="H155" t="s">
        <v>227</v>
      </c>
      <c r="K155">
        <v>153</v>
      </c>
      <c r="L155" t="s">
        <v>8</v>
      </c>
    </row>
    <row r="156" spans="1:12">
      <c r="A156">
        <v>154</v>
      </c>
      <c r="B156" t="s">
        <v>230</v>
      </c>
      <c r="G156">
        <v>154</v>
      </c>
      <c r="H156" t="s">
        <v>227</v>
      </c>
      <c r="K156">
        <v>154</v>
      </c>
      <c r="L156" t="s">
        <v>8</v>
      </c>
    </row>
    <row r="157" spans="1:12">
      <c r="A157">
        <v>155</v>
      </c>
      <c r="B157" t="s">
        <v>230</v>
      </c>
      <c r="G157">
        <v>155</v>
      </c>
      <c r="H157" t="s">
        <v>227</v>
      </c>
      <c r="K157">
        <v>155</v>
      </c>
      <c r="L157" t="s">
        <v>8</v>
      </c>
    </row>
    <row r="158" spans="1:12">
      <c r="A158">
        <v>156</v>
      </c>
      <c r="B158" t="s">
        <v>230</v>
      </c>
      <c r="G158">
        <v>156</v>
      </c>
      <c r="H158" t="s">
        <v>227</v>
      </c>
      <c r="K158">
        <v>156</v>
      </c>
      <c r="L158" t="s">
        <v>8</v>
      </c>
    </row>
    <row r="159" spans="1:12">
      <c r="A159">
        <v>157</v>
      </c>
      <c r="B159" t="s">
        <v>230</v>
      </c>
      <c r="G159">
        <v>157</v>
      </c>
      <c r="H159" t="s">
        <v>227</v>
      </c>
      <c r="K159">
        <v>157</v>
      </c>
      <c r="L159" t="s">
        <v>8</v>
      </c>
    </row>
    <row r="160" spans="1:12">
      <c r="A160">
        <v>158</v>
      </c>
      <c r="B160" t="s">
        <v>230</v>
      </c>
      <c r="G160">
        <v>158</v>
      </c>
      <c r="H160" t="s">
        <v>227</v>
      </c>
      <c r="K160">
        <v>158</v>
      </c>
      <c r="L160" t="s">
        <v>8</v>
      </c>
    </row>
    <row r="161" spans="1:12">
      <c r="A161">
        <v>159</v>
      </c>
      <c r="B161" t="s">
        <v>230</v>
      </c>
      <c r="G161">
        <v>159</v>
      </c>
      <c r="H161" t="s">
        <v>227</v>
      </c>
      <c r="K161">
        <v>159</v>
      </c>
      <c r="L161" t="s">
        <v>8</v>
      </c>
    </row>
    <row r="162" spans="1:12">
      <c r="A162">
        <v>160</v>
      </c>
      <c r="B162" t="s">
        <v>230</v>
      </c>
      <c r="G162">
        <v>160</v>
      </c>
      <c r="H162" t="s">
        <v>227</v>
      </c>
      <c r="K162">
        <v>160</v>
      </c>
      <c r="L162" t="s">
        <v>8</v>
      </c>
    </row>
    <row r="163" spans="1:12">
      <c r="A163">
        <v>161</v>
      </c>
      <c r="B163" t="s">
        <v>230</v>
      </c>
      <c r="G163">
        <v>161</v>
      </c>
      <c r="H163" t="s">
        <v>227</v>
      </c>
      <c r="K163">
        <v>161</v>
      </c>
      <c r="L163" t="s">
        <v>8</v>
      </c>
    </row>
    <row r="164" spans="1:12">
      <c r="A164">
        <v>162</v>
      </c>
      <c r="B164" t="s">
        <v>230</v>
      </c>
      <c r="G164">
        <v>162</v>
      </c>
      <c r="H164" t="s">
        <v>227</v>
      </c>
      <c r="K164">
        <v>162</v>
      </c>
      <c r="L164" t="s">
        <v>8</v>
      </c>
    </row>
    <row r="165" spans="1:12">
      <c r="A165">
        <v>163</v>
      </c>
      <c r="B165" t="s">
        <v>230</v>
      </c>
      <c r="G165">
        <v>163</v>
      </c>
      <c r="H165" t="s">
        <v>227</v>
      </c>
      <c r="K165">
        <v>163</v>
      </c>
      <c r="L165" t="s">
        <v>8</v>
      </c>
    </row>
    <row r="166" spans="1:12">
      <c r="A166">
        <v>164</v>
      </c>
      <c r="B166" t="s">
        <v>230</v>
      </c>
      <c r="G166">
        <v>164</v>
      </c>
      <c r="H166" t="s">
        <v>227</v>
      </c>
      <c r="K166">
        <v>164</v>
      </c>
      <c r="L166" t="s">
        <v>8</v>
      </c>
    </row>
    <row r="167" spans="1:12">
      <c r="A167">
        <v>165</v>
      </c>
      <c r="B167" t="s">
        <v>230</v>
      </c>
      <c r="G167">
        <v>165</v>
      </c>
      <c r="H167" t="s">
        <v>227</v>
      </c>
      <c r="K167">
        <v>165</v>
      </c>
      <c r="L167" t="s">
        <v>8</v>
      </c>
    </row>
    <row r="168" spans="1:12">
      <c r="A168">
        <v>166</v>
      </c>
      <c r="B168" t="s">
        <v>230</v>
      </c>
      <c r="G168">
        <v>166</v>
      </c>
      <c r="H168" t="s">
        <v>227</v>
      </c>
      <c r="K168">
        <v>166</v>
      </c>
      <c r="L168" t="s">
        <v>8</v>
      </c>
    </row>
    <row r="169" spans="1:12">
      <c r="A169">
        <v>167</v>
      </c>
      <c r="B169" t="s">
        <v>230</v>
      </c>
      <c r="G169">
        <v>167</v>
      </c>
      <c r="H169" t="s">
        <v>227</v>
      </c>
      <c r="K169">
        <v>167</v>
      </c>
      <c r="L169" t="s">
        <v>8</v>
      </c>
    </row>
    <row r="170" spans="1:12">
      <c r="A170">
        <v>168</v>
      </c>
      <c r="B170" t="s">
        <v>231</v>
      </c>
      <c r="G170">
        <v>168</v>
      </c>
      <c r="H170" t="s">
        <v>227</v>
      </c>
      <c r="K170">
        <v>168</v>
      </c>
      <c r="L170" t="s">
        <v>8</v>
      </c>
    </row>
    <row r="171" spans="1:12">
      <c r="A171">
        <v>169</v>
      </c>
      <c r="B171" t="s">
        <v>231</v>
      </c>
      <c r="G171">
        <v>169</v>
      </c>
      <c r="H171" t="s">
        <v>227</v>
      </c>
      <c r="K171">
        <v>169</v>
      </c>
      <c r="L171" t="s">
        <v>8</v>
      </c>
    </row>
    <row r="172" spans="1:12">
      <c r="A172">
        <v>170</v>
      </c>
      <c r="B172" t="s">
        <v>231</v>
      </c>
      <c r="G172">
        <v>170</v>
      </c>
      <c r="H172" t="s">
        <v>227</v>
      </c>
      <c r="K172">
        <v>170</v>
      </c>
      <c r="L172" t="s">
        <v>8</v>
      </c>
    </row>
    <row r="173" spans="1:12">
      <c r="A173">
        <v>171</v>
      </c>
      <c r="B173" t="s">
        <v>231</v>
      </c>
      <c r="G173">
        <v>171</v>
      </c>
      <c r="H173" t="s">
        <v>227</v>
      </c>
      <c r="K173">
        <v>171</v>
      </c>
      <c r="L173" t="s">
        <v>8</v>
      </c>
    </row>
    <row r="174" spans="1:12">
      <c r="A174">
        <v>172</v>
      </c>
      <c r="B174" t="s">
        <v>231</v>
      </c>
      <c r="G174">
        <v>172</v>
      </c>
      <c r="H174" t="s">
        <v>227</v>
      </c>
      <c r="K174">
        <v>172</v>
      </c>
      <c r="L174" t="s">
        <v>8</v>
      </c>
    </row>
    <row r="175" spans="1:12">
      <c r="A175">
        <v>173</v>
      </c>
      <c r="B175" t="s">
        <v>231</v>
      </c>
      <c r="G175">
        <v>173</v>
      </c>
      <c r="H175" t="s">
        <v>227</v>
      </c>
      <c r="K175">
        <v>173</v>
      </c>
      <c r="L175" t="s">
        <v>8</v>
      </c>
    </row>
    <row r="176" spans="1:12">
      <c r="A176">
        <v>174</v>
      </c>
      <c r="B176" t="s">
        <v>232</v>
      </c>
      <c r="G176">
        <v>174</v>
      </c>
      <c r="H176" t="s">
        <v>228</v>
      </c>
      <c r="K176">
        <v>174</v>
      </c>
      <c r="L176" t="s">
        <v>8</v>
      </c>
    </row>
    <row r="177" spans="1:12">
      <c r="A177">
        <v>175</v>
      </c>
      <c r="B177" t="s">
        <v>232</v>
      </c>
      <c r="G177">
        <v>175</v>
      </c>
      <c r="H177" t="s">
        <v>228</v>
      </c>
      <c r="K177">
        <v>175</v>
      </c>
      <c r="L177" t="s">
        <v>8</v>
      </c>
    </row>
    <row r="178" spans="1:12">
      <c r="A178">
        <v>176</v>
      </c>
      <c r="B178" t="s">
        <v>232</v>
      </c>
      <c r="G178">
        <v>176</v>
      </c>
      <c r="H178" t="s">
        <v>228</v>
      </c>
      <c r="K178">
        <v>176</v>
      </c>
      <c r="L178" t="s">
        <v>8</v>
      </c>
    </row>
    <row r="179" spans="1:12">
      <c r="A179">
        <v>177</v>
      </c>
      <c r="B179" t="s">
        <v>232</v>
      </c>
      <c r="G179">
        <v>177</v>
      </c>
      <c r="H179" t="s">
        <v>228</v>
      </c>
      <c r="K179">
        <v>177</v>
      </c>
      <c r="L179" t="s">
        <v>8</v>
      </c>
    </row>
    <row r="180" spans="1:12">
      <c r="A180">
        <v>178</v>
      </c>
      <c r="B180" t="s">
        <v>232</v>
      </c>
      <c r="G180">
        <v>178</v>
      </c>
      <c r="H180" t="s">
        <v>228</v>
      </c>
      <c r="K180">
        <v>178</v>
      </c>
      <c r="L180" t="s">
        <v>8</v>
      </c>
    </row>
    <row r="181" spans="1:12">
      <c r="A181">
        <v>179</v>
      </c>
      <c r="B181" t="s">
        <v>232</v>
      </c>
      <c r="G181">
        <v>179</v>
      </c>
      <c r="H181" t="s">
        <v>228</v>
      </c>
      <c r="K181">
        <v>179</v>
      </c>
      <c r="L181" t="s">
        <v>8</v>
      </c>
    </row>
    <row r="182" spans="1:12">
      <c r="A182">
        <v>180</v>
      </c>
      <c r="B182" t="s">
        <v>233</v>
      </c>
      <c r="G182">
        <v>180</v>
      </c>
      <c r="H182" t="s">
        <v>228</v>
      </c>
      <c r="K182">
        <v>180</v>
      </c>
      <c r="L182" t="s">
        <v>8</v>
      </c>
    </row>
    <row r="183" spans="1:12">
      <c r="A183">
        <v>181</v>
      </c>
      <c r="B183" t="s">
        <v>233</v>
      </c>
      <c r="G183">
        <v>181</v>
      </c>
      <c r="H183" t="s">
        <v>228</v>
      </c>
      <c r="K183">
        <v>181</v>
      </c>
      <c r="L183" t="s">
        <v>8</v>
      </c>
    </row>
    <row r="184" spans="1:12">
      <c r="A184">
        <v>182</v>
      </c>
      <c r="B184" t="s">
        <v>233</v>
      </c>
      <c r="G184">
        <v>182</v>
      </c>
      <c r="H184" t="s">
        <v>228</v>
      </c>
      <c r="K184">
        <v>182</v>
      </c>
      <c r="L184" t="s">
        <v>8</v>
      </c>
    </row>
    <row r="185" spans="1:12">
      <c r="A185">
        <v>183</v>
      </c>
      <c r="B185" t="s">
        <v>233</v>
      </c>
      <c r="G185">
        <v>183</v>
      </c>
      <c r="H185" t="s">
        <v>228</v>
      </c>
      <c r="K185">
        <v>183</v>
      </c>
      <c r="L185" t="s">
        <v>8</v>
      </c>
    </row>
    <row r="186" spans="1:12">
      <c r="A186">
        <v>184</v>
      </c>
      <c r="B186" t="s">
        <v>233</v>
      </c>
      <c r="G186">
        <v>184</v>
      </c>
      <c r="H186" t="s">
        <v>228</v>
      </c>
      <c r="K186">
        <v>184</v>
      </c>
      <c r="L186" t="s">
        <v>8</v>
      </c>
    </row>
    <row r="187" spans="1:12">
      <c r="A187">
        <v>185</v>
      </c>
      <c r="B187" t="s">
        <v>233</v>
      </c>
      <c r="G187">
        <v>185</v>
      </c>
      <c r="H187" t="s">
        <v>228</v>
      </c>
      <c r="K187">
        <v>185</v>
      </c>
      <c r="L187" t="s">
        <v>8</v>
      </c>
    </row>
    <row r="188" spans="1:12">
      <c r="A188">
        <v>186</v>
      </c>
      <c r="B188" t="s">
        <v>233</v>
      </c>
      <c r="G188">
        <v>186</v>
      </c>
      <c r="H188" t="s">
        <v>228</v>
      </c>
      <c r="K188">
        <v>186</v>
      </c>
      <c r="L188" t="s">
        <v>8</v>
      </c>
    </row>
    <row r="189" spans="1:12">
      <c r="A189">
        <v>187</v>
      </c>
      <c r="B189" t="s">
        <v>233</v>
      </c>
      <c r="G189">
        <v>187</v>
      </c>
      <c r="H189" t="s">
        <v>228</v>
      </c>
      <c r="K189">
        <v>187</v>
      </c>
      <c r="L189" t="s">
        <v>8</v>
      </c>
    </row>
    <row r="190" spans="1:12">
      <c r="A190">
        <v>188</v>
      </c>
      <c r="B190" t="s">
        <v>233</v>
      </c>
      <c r="G190">
        <v>188</v>
      </c>
      <c r="H190" t="s">
        <v>228</v>
      </c>
      <c r="K190">
        <v>188</v>
      </c>
      <c r="L190" t="s">
        <v>8</v>
      </c>
    </row>
    <row r="191" spans="1:12">
      <c r="A191">
        <v>189</v>
      </c>
      <c r="B191" t="s">
        <v>233</v>
      </c>
      <c r="G191">
        <v>189</v>
      </c>
      <c r="H191" t="s">
        <v>228</v>
      </c>
      <c r="K191">
        <v>189</v>
      </c>
      <c r="L191" t="s">
        <v>8</v>
      </c>
    </row>
    <row r="192" spans="1:12">
      <c r="A192">
        <v>190</v>
      </c>
      <c r="B192" t="s">
        <v>233</v>
      </c>
      <c r="G192">
        <v>190</v>
      </c>
      <c r="H192" t="s">
        <v>228</v>
      </c>
      <c r="K192">
        <v>190</v>
      </c>
      <c r="L192" t="s">
        <v>8</v>
      </c>
    </row>
    <row r="193" spans="1:12">
      <c r="A193">
        <v>191</v>
      </c>
      <c r="B193" t="s">
        <v>233</v>
      </c>
      <c r="G193">
        <v>191</v>
      </c>
      <c r="H193" t="s">
        <v>228</v>
      </c>
      <c r="K193">
        <v>191</v>
      </c>
      <c r="L193" t="s">
        <v>8</v>
      </c>
    </row>
    <row r="194" spans="1:12">
      <c r="A194">
        <v>192</v>
      </c>
      <c r="B194" t="s">
        <v>233</v>
      </c>
      <c r="G194">
        <v>192</v>
      </c>
      <c r="H194" t="s">
        <v>228</v>
      </c>
      <c r="K194">
        <v>192</v>
      </c>
      <c r="L194" t="s">
        <v>227</v>
      </c>
    </row>
    <row r="195" spans="1:12">
      <c r="G195">
        <v>193</v>
      </c>
      <c r="H195" t="s">
        <v>228</v>
      </c>
      <c r="K195">
        <v>193</v>
      </c>
      <c r="L195" t="s">
        <v>227</v>
      </c>
    </row>
    <row r="196" spans="1:12">
      <c r="G196">
        <v>194</v>
      </c>
      <c r="H196" t="s">
        <v>228</v>
      </c>
      <c r="K196">
        <v>194</v>
      </c>
      <c r="L196" t="s">
        <v>227</v>
      </c>
    </row>
    <row r="197" spans="1:12">
      <c r="G197">
        <v>195</v>
      </c>
      <c r="H197" t="s">
        <v>228</v>
      </c>
      <c r="K197">
        <v>195</v>
      </c>
      <c r="L197" t="s">
        <v>227</v>
      </c>
    </row>
    <row r="198" spans="1:12">
      <c r="G198">
        <v>196</v>
      </c>
      <c r="H198" t="s">
        <v>228</v>
      </c>
      <c r="K198">
        <v>196</v>
      </c>
      <c r="L198" t="s">
        <v>227</v>
      </c>
    </row>
    <row r="199" spans="1:12">
      <c r="G199">
        <v>197</v>
      </c>
      <c r="H199" t="s">
        <v>228</v>
      </c>
      <c r="K199">
        <v>197</v>
      </c>
      <c r="L199" t="s">
        <v>227</v>
      </c>
    </row>
    <row r="200" spans="1:12">
      <c r="G200">
        <v>198</v>
      </c>
      <c r="H200" t="s">
        <v>228</v>
      </c>
      <c r="K200">
        <v>198</v>
      </c>
      <c r="L200" t="s">
        <v>227</v>
      </c>
    </row>
    <row r="201" spans="1:12">
      <c r="G201">
        <v>199</v>
      </c>
      <c r="H201" t="s">
        <v>228</v>
      </c>
      <c r="K201">
        <v>199</v>
      </c>
      <c r="L201" t="s">
        <v>227</v>
      </c>
    </row>
    <row r="202" spans="1:12">
      <c r="G202">
        <v>200</v>
      </c>
      <c r="H202" t="s">
        <v>228</v>
      </c>
      <c r="K202">
        <v>200</v>
      </c>
      <c r="L202" t="s">
        <v>227</v>
      </c>
    </row>
    <row r="203" spans="1:12">
      <c r="G203">
        <v>201</v>
      </c>
      <c r="H203" t="s">
        <v>228</v>
      </c>
      <c r="K203">
        <v>201</v>
      </c>
      <c r="L203" t="s">
        <v>227</v>
      </c>
    </row>
    <row r="204" spans="1:12">
      <c r="G204">
        <v>202</v>
      </c>
      <c r="H204" t="s">
        <v>228</v>
      </c>
      <c r="K204">
        <v>202</v>
      </c>
      <c r="L204" t="s">
        <v>227</v>
      </c>
    </row>
    <row r="205" spans="1:12">
      <c r="G205">
        <v>203</v>
      </c>
      <c r="H205" t="s">
        <v>228</v>
      </c>
      <c r="K205">
        <v>203</v>
      </c>
      <c r="L205" t="s">
        <v>227</v>
      </c>
    </row>
    <row r="206" spans="1:12">
      <c r="G206">
        <v>204</v>
      </c>
      <c r="H206" t="s">
        <v>229</v>
      </c>
      <c r="K206">
        <v>204</v>
      </c>
      <c r="L206" t="s">
        <v>227</v>
      </c>
    </row>
    <row r="207" spans="1:12">
      <c r="G207">
        <v>205</v>
      </c>
      <c r="H207" t="s">
        <v>229</v>
      </c>
      <c r="K207">
        <v>205</v>
      </c>
      <c r="L207" t="s">
        <v>227</v>
      </c>
    </row>
    <row r="208" spans="1:12">
      <c r="G208">
        <v>206</v>
      </c>
      <c r="H208" t="s">
        <v>229</v>
      </c>
      <c r="K208">
        <v>206</v>
      </c>
      <c r="L208" t="s">
        <v>227</v>
      </c>
    </row>
    <row r="209" spans="7:12">
      <c r="G209">
        <v>207</v>
      </c>
      <c r="H209" t="s">
        <v>229</v>
      </c>
      <c r="K209">
        <v>207</v>
      </c>
      <c r="L209" t="s">
        <v>227</v>
      </c>
    </row>
    <row r="210" spans="7:12">
      <c r="G210">
        <v>208</v>
      </c>
      <c r="H210" t="s">
        <v>229</v>
      </c>
      <c r="K210">
        <v>208</v>
      </c>
      <c r="L210" t="s">
        <v>227</v>
      </c>
    </row>
    <row r="211" spans="7:12">
      <c r="G211">
        <v>209</v>
      </c>
      <c r="H211" t="s">
        <v>229</v>
      </c>
      <c r="K211">
        <v>209</v>
      </c>
      <c r="L211" t="s">
        <v>227</v>
      </c>
    </row>
    <row r="212" spans="7:12">
      <c r="G212">
        <v>210</v>
      </c>
      <c r="H212" t="s">
        <v>229</v>
      </c>
      <c r="K212">
        <v>210</v>
      </c>
      <c r="L212" t="s">
        <v>227</v>
      </c>
    </row>
    <row r="213" spans="7:12">
      <c r="G213">
        <v>211</v>
      </c>
      <c r="H213" t="s">
        <v>229</v>
      </c>
      <c r="K213">
        <v>211</v>
      </c>
      <c r="L213" t="s">
        <v>227</v>
      </c>
    </row>
    <row r="214" spans="7:12">
      <c r="G214">
        <v>212</v>
      </c>
      <c r="H214" t="s">
        <v>229</v>
      </c>
      <c r="K214">
        <v>212</v>
      </c>
      <c r="L214" t="s">
        <v>227</v>
      </c>
    </row>
    <row r="215" spans="7:12">
      <c r="G215">
        <v>213</v>
      </c>
      <c r="H215" t="s">
        <v>229</v>
      </c>
      <c r="K215">
        <v>213</v>
      </c>
      <c r="L215" t="s">
        <v>227</v>
      </c>
    </row>
    <row r="216" spans="7:12">
      <c r="G216">
        <v>214</v>
      </c>
      <c r="H216" t="s">
        <v>229</v>
      </c>
      <c r="K216">
        <v>214</v>
      </c>
      <c r="L216" t="s">
        <v>227</v>
      </c>
    </row>
    <row r="217" spans="7:12">
      <c r="G217">
        <v>215</v>
      </c>
      <c r="H217" t="s">
        <v>229</v>
      </c>
      <c r="K217">
        <v>215</v>
      </c>
      <c r="L217" t="s">
        <v>227</v>
      </c>
    </row>
    <row r="218" spans="7:12">
      <c r="G218">
        <v>216</v>
      </c>
      <c r="H218" t="s">
        <v>229</v>
      </c>
      <c r="K218">
        <v>216</v>
      </c>
      <c r="L218" t="s">
        <v>227</v>
      </c>
    </row>
    <row r="219" spans="7:12">
      <c r="G219">
        <v>217</v>
      </c>
      <c r="H219" t="s">
        <v>229</v>
      </c>
      <c r="K219">
        <v>217</v>
      </c>
      <c r="L219" t="s">
        <v>227</v>
      </c>
    </row>
    <row r="220" spans="7:12">
      <c r="G220">
        <v>218</v>
      </c>
      <c r="H220" t="s">
        <v>229</v>
      </c>
      <c r="K220">
        <v>218</v>
      </c>
      <c r="L220" t="s">
        <v>227</v>
      </c>
    </row>
    <row r="221" spans="7:12">
      <c r="G221">
        <v>219</v>
      </c>
      <c r="H221" t="s">
        <v>229</v>
      </c>
      <c r="K221">
        <v>219</v>
      </c>
      <c r="L221" t="s">
        <v>227</v>
      </c>
    </row>
    <row r="222" spans="7:12">
      <c r="G222">
        <v>220</v>
      </c>
      <c r="H222" t="s">
        <v>229</v>
      </c>
      <c r="K222">
        <v>220</v>
      </c>
      <c r="L222" t="s">
        <v>227</v>
      </c>
    </row>
    <row r="223" spans="7:12">
      <c r="G223">
        <v>221</v>
      </c>
      <c r="H223" t="s">
        <v>229</v>
      </c>
      <c r="K223">
        <v>221</v>
      </c>
      <c r="L223" t="s">
        <v>227</v>
      </c>
    </row>
    <row r="224" spans="7:12">
      <c r="G224">
        <v>222</v>
      </c>
      <c r="H224" t="s">
        <v>229</v>
      </c>
      <c r="K224">
        <v>222</v>
      </c>
      <c r="L224" t="s">
        <v>227</v>
      </c>
    </row>
    <row r="225" spans="7:12">
      <c r="G225">
        <v>223</v>
      </c>
      <c r="H225" t="s">
        <v>229</v>
      </c>
      <c r="K225">
        <v>223</v>
      </c>
      <c r="L225" t="s">
        <v>227</v>
      </c>
    </row>
    <row r="226" spans="7:12">
      <c r="G226">
        <v>224</v>
      </c>
      <c r="H226" t="s">
        <v>229</v>
      </c>
      <c r="K226">
        <v>224</v>
      </c>
      <c r="L226" t="s">
        <v>227</v>
      </c>
    </row>
    <row r="227" spans="7:12">
      <c r="G227">
        <v>225</v>
      </c>
      <c r="H227" t="s">
        <v>229</v>
      </c>
      <c r="K227">
        <v>225</v>
      </c>
      <c r="L227" t="s">
        <v>227</v>
      </c>
    </row>
    <row r="228" spans="7:12">
      <c r="G228">
        <v>226</v>
      </c>
      <c r="H228" t="s">
        <v>229</v>
      </c>
      <c r="K228">
        <v>226</v>
      </c>
      <c r="L228" t="s">
        <v>227</v>
      </c>
    </row>
    <row r="229" spans="7:12">
      <c r="G229">
        <v>227</v>
      </c>
      <c r="H229" t="s">
        <v>229</v>
      </c>
      <c r="K229">
        <v>227</v>
      </c>
      <c r="L229" t="s">
        <v>227</v>
      </c>
    </row>
    <row r="230" spans="7:12">
      <c r="G230">
        <v>228</v>
      </c>
      <c r="H230" t="s">
        <v>229</v>
      </c>
      <c r="K230">
        <v>228</v>
      </c>
      <c r="L230" t="s">
        <v>227</v>
      </c>
    </row>
    <row r="231" spans="7:12">
      <c r="G231">
        <v>229</v>
      </c>
      <c r="H231" t="s">
        <v>229</v>
      </c>
      <c r="K231">
        <v>229</v>
      </c>
      <c r="L231" t="s">
        <v>227</v>
      </c>
    </row>
    <row r="232" spans="7:12">
      <c r="G232">
        <v>230</v>
      </c>
      <c r="H232" t="s">
        <v>229</v>
      </c>
      <c r="K232">
        <v>230</v>
      </c>
      <c r="L232" t="s">
        <v>227</v>
      </c>
    </row>
    <row r="233" spans="7:12">
      <c r="G233">
        <v>231</v>
      </c>
      <c r="H233" t="s">
        <v>229</v>
      </c>
      <c r="K233">
        <v>231</v>
      </c>
      <c r="L233" t="s">
        <v>227</v>
      </c>
    </row>
    <row r="234" spans="7:12">
      <c r="G234">
        <v>232</v>
      </c>
      <c r="H234" t="s">
        <v>229</v>
      </c>
      <c r="K234">
        <v>232</v>
      </c>
      <c r="L234" t="s">
        <v>227</v>
      </c>
    </row>
    <row r="235" spans="7:12">
      <c r="G235">
        <v>233</v>
      </c>
      <c r="H235" t="s">
        <v>229</v>
      </c>
      <c r="K235">
        <v>233</v>
      </c>
      <c r="L235" t="s">
        <v>227</v>
      </c>
    </row>
    <row r="236" spans="7:12">
      <c r="G236">
        <v>234</v>
      </c>
      <c r="H236" t="s">
        <v>230</v>
      </c>
      <c r="K236">
        <v>234</v>
      </c>
      <c r="L236" t="s">
        <v>228</v>
      </c>
    </row>
    <row r="237" spans="7:12">
      <c r="G237">
        <v>235</v>
      </c>
      <c r="H237" t="s">
        <v>230</v>
      </c>
      <c r="K237">
        <v>235</v>
      </c>
      <c r="L237" t="s">
        <v>228</v>
      </c>
    </row>
    <row r="238" spans="7:12">
      <c r="G238">
        <v>236</v>
      </c>
      <c r="H238" t="s">
        <v>230</v>
      </c>
      <c r="K238">
        <v>236</v>
      </c>
      <c r="L238" t="s">
        <v>228</v>
      </c>
    </row>
    <row r="239" spans="7:12">
      <c r="G239">
        <v>237</v>
      </c>
      <c r="H239" t="s">
        <v>230</v>
      </c>
      <c r="K239">
        <v>237</v>
      </c>
      <c r="L239" t="s">
        <v>228</v>
      </c>
    </row>
    <row r="240" spans="7:12">
      <c r="G240">
        <v>238</v>
      </c>
      <c r="H240" t="s">
        <v>230</v>
      </c>
      <c r="K240">
        <v>238</v>
      </c>
      <c r="L240" t="s">
        <v>228</v>
      </c>
    </row>
    <row r="241" spans="7:12">
      <c r="G241">
        <v>239</v>
      </c>
      <c r="H241" t="s">
        <v>230</v>
      </c>
      <c r="K241">
        <v>239</v>
      </c>
      <c r="L241" t="s">
        <v>228</v>
      </c>
    </row>
    <row r="242" spans="7:12">
      <c r="G242">
        <v>240</v>
      </c>
      <c r="H242" t="s">
        <v>230</v>
      </c>
      <c r="K242">
        <v>240</v>
      </c>
      <c r="L242" t="s">
        <v>228</v>
      </c>
    </row>
    <row r="243" spans="7:12">
      <c r="G243">
        <v>241</v>
      </c>
      <c r="H243" t="s">
        <v>230</v>
      </c>
      <c r="K243">
        <v>241</v>
      </c>
      <c r="L243" t="s">
        <v>228</v>
      </c>
    </row>
    <row r="244" spans="7:12">
      <c r="G244">
        <v>242</v>
      </c>
      <c r="H244" t="s">
        <v>230</v>
      </c>
      <c r="K244">
        <v>242</v>
      </c>
      <c r="L244" t="s">
        <v>228</v>
      </c>
    </row>
    <row r="245" spans="7:12">
      <c r="G245">
        <v>243</v>
      </c>
      <c r="H245" t="s">
        <v>230</v>
      </c>
      <c r="K245">
        <v>243</v>
      </c>
      <c r="L245" t="s">
        <v>228</v>
      </c>
    </row>
    <row r="246" spans="7:12">
      <c r="G246">
        <v>244</v>
      </c>
      <c r="H246" t="s">
        <v>230</v>
      </c>
      <c r="K246">
        <v>244</v>
      </c>
      <c r="L246" t="s">
        <v>228</v>
      </c>
    </row>
    <row r="247" spans="7:12">
      <c r="G247">
        <v>245</v>
      </c>
      <c r="H247" t="s">
        <v>230</v>
      </c>
      <c r="K247">
        <v>245</v>
      </c>
      <c r="L247" t="s">
        <v>228</v>
      </c>
    </row>
    <row r="248" spans="7:12">
      <c r="G248">
        <v>246</v>
      </c>
      <c r="H248" t="s">
        <v>230</v>
      </c>
      <c r="K248">
        <v>246</v>
      </c>
      <c r="L248" t="s">
        <v>228</v>
      </c>
    </row>
    <row r="249" spans="7:12">
      <c r="G249">
        <v>247</v>
      </c>
      <c r="H249" t="s">
        <v>230</v>
      </c>
      <c r="K249">
        <v>247</v>
      </c>
      <c r="L249" t="s">
        <v>228</v>
      </c>
    </row>
    <row r="250" spans="7:12">
      <c r="G250">
        <v>248</v>
      </c>
      <c r="H250" t="s">
        <v>230</v>
      </c>
      <c r="K250">
        <v>248</v>
      </c>
      <c r="L250" t="s">
        <v>228</v>
      </c>
    </row>
    <row r="251" spans="7:12">
      <c r="G251">
        <v>249</v>
      </c>
      <c r="H251" t="s">
        <v>230</v>
      </c>
      <c r="K251">
        <v>249</v>
      </c>
      <c r="L251" t="s">
        <v>228</v>
      </c>
    </row>
    <row r="252" spans="7:12">
      <c r="G252">
        <v>250</v>
      </c>
      <c r="H252" t="s">
        <v>230</v>
      </c>
      <c r="K252">
        <v>250</v>
      </c>
      <c r="L252" t="s">
        <v>228</v>
      </c>
    </row>
    <row r="253" spans="7:12">
      <c r="G253">
        <v>251</v>
      </c>
      <c r="H253" t="s">
        <v>230</v>
      </c>
      <c r="K253">
        <v>251</v>
      </c>
      <c r="L253" t="s">
        <v>228</v>
      </c>
    </row>
    <row r="254" spans="7:12">
      <c r="G254">
        <v>252</v>
      </c>
      <c r="H254" t="s">
        <v>230</v>
      </c>
      <c r="K254">
        <v>252</v>
      </c>
      <c r="L254" t="s">
        <v>228</v>
      </c>
    </row>
    <row r="255" spans="7:12">
      <c r="G255">
        <v>253</v>
      </c>
      <c r="H255" t="s">
        <v>230</v>
      </c>
      <c r="K255">
        <v>253</v>
      </c>
      <c r="L255" t="s">
        <v>228</v>
      </c>
    </row>
    <row r="256" spans="7:12">
      <c r="G256">
        <v>254</v>
      </c>
      <c r="H256" t="s">
        <v>230</v>
      </c>
      <c r="K256">
        <v>254</v>
      </c>
      <c r="L256" t="s">
        <v>228</v>
      </c>
    </row>
    <row r="257" spans="7:12">
      <c r="G257">
        <v>255</v>
      </c>
      <c r="H257" t="s">
        <v>230</v>
      </c>
      <c r="K257">
        <v>255</v>
      </c>
      <c r="L257" t="s">
        <v>228</v>
      </c>
    </row>
    <row r="258" spans="7:12">
      <c r="G258">
        <v>256</v>
      </c>
      <c r="H258" t="s">
        <v>230</v>
      </c>
      <c r="K258">
        <v>256</v>
      </c>
      <c r="L258" t="s">
        <v>228</v>
      </c>
    </row>
    <row r="259" spans="7:12">
      <c r="G259">
        <v>257</v>
      </c>
      <c r="H259" t="s">
        <v>230</v>
      </c>
      <c r="K259">
        <v>257</v>
      </c>
      <c r="L259" t="s">
        <v>228</v>
      </c>
    </row>
    <row r="260" spans="7:12">
      <c r="G260">
        <v>258</v>
      </c>
      <c r="H260" t="s">
        <v>230</v>
      </c>
      <c r="K260">
        <v>258</v>
      </c>
      <c r="L260" t="s">
        <v>228</v>
      </c>
    </row>
    <row r="261" spans="7:12">
      <c r="G261">
        <v>259</v>
      </c>
      <c r="H261" t="s">
        <v>230</v>
      </c>
      <c r="K261">
        <v>259</v>
      </c>
      <c r="L261" t="s">
        <v>228</v>
      </c>
    </row>
    <row r="262" spans="7:12">
      <c r="G262">
        <v>260</v>
      </c>
      <c r="H262" t="s">
        <v>230</v>
      </c>
      <c r="K262">
        <v>260</v>
      </c>
      <c r="L262" t="s">
        <v>228</v>
      </c>
    </row>
    <row r="263" spans="7:12">
      <c r="G263">
        <v>261</v>
      </c>
      <c r="H263" t="s">
        <v>230</v>
      </c>
      <c r="K263">
        <v>261</v>
      </c>
      <c r="L263" t="s">
        <v>228</v>
      </c>
    </row>
    <row r="264" spans="7:12">
      <c r="G264">
        <v>262</v>
      </c>
      <c r="H264" t="s">
        <v>230</v>
      </c>
      <c r="K264">
        <v>262</v>
      </c>
      <c r="L264" t="s">
        <v>228</v>
      </c>
    </row>
    <row r="265" spans="7:12">
      <c r="G265">
        <v>263</v>
      </c>
      <c r="H265" t="s">
        <v>230</v>
      </c>
      <c r="K265">
        <v>263</v>
      </c>
      <c r="L265" t="s">
        <v>228</v>
      </c>
    </row>
    <row r="266" spans="7:12">
      <c r="G266">
        <v>264</v>
      </c>
      <c r="H266" t="s">
        <v>231</v>
      </c>
      <c r="K266">
        <v>264</v>
      </c>
      <c r="L266" t="s">
        <v>228</v>
      </c>
    </row>
    <row r="267" spans="7:12">
      <c r="G267">
        <v>265</v>
      </c>
      <c r="H267" t="s">
        <v>231</v>
      </c>
      <c r="K267">
        <v>265</v>
      </c>
      <c r="L267" t="s">
        <v>228</v>
      </c>
    </row>
    <row r="268" spans="7:12">
      <c r="G268">
        <v>266</v>
      </c>
      <c r="H268" t="s">
        <v>231</v>
      </c>
      <c r="K268">
        <v>266</v>
      </c>
      <c r="L268" t="s">
        <v>228</v>
      </c>
    </row>
    <row r="269" spans="7:12">
      <c r="G269">
        <v>267</v>
      </c>
      <c r="H269" t="s">
        <v>231</v>
      </c>
      <c r="K269">
        <v>267</v>
      </c>
      <c r="L269" t="s">
        <v>228</v>
      </c>
    </row>
    <row r="270" spans="7:12">
      <c r="G270">
        <v>268</v>
      </c>
      <c r="H270" t="s">
        <v>231</v>
      </c>
      <c r="K270">
        <v>268</v>
      </c>
      <c r="L270" t="s">
        <v>228</v>
      </c>
    </row>
    <row r="271" spans="7:12">
      <c r="G271">
        <v>269</v>
      </c>
      <c r="H271" t="s">
        <v>231</v>
      </c>
      <c r="K271">
        <v>269</v>
      </c>
      <c r="L271" t="s">
        <v>228</v>
      </c>
    </row>
    <row r="272" spans="7:12">
      <c r="G272">
        <v>270</v>
      </c>
      <c r="H272" t="s">
        <v>232</v>
      </c>
      <c r="K272">
        <v>270</v>
      </c>
      <c r="L272" t="s">
        <v>228</v>
      </c>
    </row>
    <row r="273" spans="7:12">
      <c r="G273">
        <v>271</v>
      </c>
      <c r="H273" t="s">
        <v>232</v>
      </c>
      <c r="K273">
        <v>271</v>
      </c>
      <c r="L273" t="s">
        <v>228</v>
      </c>
    </row>
    <row r="274" spans="7:12">
      <c r="G274">
        <v>272</v>
      </c>
      <c r="H274" t="s">
        <v>232</v>
      </c>
      <c r="K274">
        <v>272</v>
      </c>
      <c r="L274" t="s">
        <v>228</v>
      </c>
    </row>
    <row r="275" spans="7:12">
      <c r="G275">
        <v>273</v>
      </c>
      <c r="H275" t="s">
        <v>232</v>
      </c>
      <c r="K275">
        <v>273</v>
      </c>
      <c r="L275" t="s">
        <v>228</v>
      </c>
    </row>
    <row r="276" spans="7:12">
      <c r="G276">
        <v>274</v>
      </c>
      <c r="H276" t="s">
        <v>232</v>
      </c>
      <c r="K276">
        <v>274</v>
      </c>
      <c r="L276" t="s">
        <v>228</v>
      </c>
    </row>
    <row r="277" spans="7:12">
      <c r="G277">
        <v>275</v>
      </c>
      <c r="H277" t="s">
        <v>232</v>
      </c>
      <c r="K277">
        <v>275</v>
      </c>
      <c r="L277" t="s">
        <v>228</v>
      </c>
    </row>
    <row r="278" spans="7:12">
      <c r="G278">
        <v>276</v>
      </c>
      <c r="H278" t="s">
        <v>233</v>
      </c>
      <c r="K278">
        <v>276</v>
      </c>
      <c r="L278" t="s">
        <v>229</v>
      </c>
    </row>
    <row r="279" spans="7:12">
      <c r="G279">
        <v>277</v>
      </c>
      <c r="H279" t="s">
        <v>233</v>
      </c>
      <c r="K279">
        <v>277</v>
      </c>
      <c r="L279" t="s">
        <v>229</v>
      </c>
    </row>
    <row r="280" spans="7:12">
      <c r="G280">
        <v>278</v>
      </c>
      <c r="H280" t="s">
        <v>233</v>
      </c>
      <c r="K280">
        <v>278</v>
      </c>
      <c r="L280" t="s">
        <v>229</v>
      </c>
    </row>
    <row r="281" spans="7:12">
      <c r="G281">
        <v>279</v>
      </c>
      <c r="H281" t="s">
        <v>233</v>
      </c>
      <c r="K281">
        <v>279</v>
      </c>
      <c r="L281" t="s">
        <v>229</v>
      </c>
    </row>
    <row r="282" spans="7:12">
      <c r="G282">
        <v>280</v>
      </c>
      <c r="H282" t="s">
        <v>233</v>
      </c>
      <c r="K282">
        <v>280</v>
      </c>
      <c r="L282" t="s">
        <v>229</v>
      </c>
    </row>
    <row r="283" spans="7:12">
      <c r="G283">
        <v>281</v>
      </c>
      <c r="H283" t="s">
        <v>233</v>
      </c>
      <c r="K283">
        <v>281</v>
      </c>
      <c r="L283" t="s">
        <v>229</v>
      </c>
    </row>
    <row r="284" spans="7:12">
      <c r="G284">
        <v>282</v>
      </c>
      <c r="H284" t="s">
        <v>233</v>
      </c>
      <c r="K284">
        <v>282</v>
      </c>
      <c r="L284" t="s">
        <v>229</v>
      </c>
    </row>
    <row r="285" spans="7:12">
      <c r="G285">
        <v>283</v>
      </c>
      <c r="H285" t="s">
        <v>233</v>
      </c>
      <c r="K285">
        <v>283</v>
      </c>
      <c r="L285" t="s">
        <v>229</v>
      </c>
    </row>
    <row r="286" spans="7:12">
      <c r="G286">
        <v>284</v>
      </c>
      <c r="H286" t="s">
        <v>233</v>
      </c>
      <c r="K286">
        <v>284</v>
      </c>
      <c r="L286" t="s">
        <v>229</v>
      </c>
    </row>
    <row r="287" spans="7:12">
      <c r="G287">
        <v>285</v>
      </c>
      <c r="H287" t="s">
        <v>233</v>
      </c>
      <c r="K287">
        <v>285</v>
      </c>
      <c r="L287" t="s">
        <v>229</v>
      </c>
    </row>
    <row r="288" spans="7:12">
      <c r="G288">
        <v>286</v>
      </c>
      <c r="H288" t="s">
        <v>233</v>
      </c>
      <c r="K288">
        <v>286</v>
      </c>
      <c r="L288" t="s">
        <v>229</v>
      </c>
    </row>
    <row r="289" spans="7:12">
      <c r="G289">
        <v>287</v>
      </c>
      <c r="H289" t="s">
        <v>233</v>
      </c>
      <c r="K289">
        <v>287</v>
      </c>
      <c r="L289" t="s">
        <v>229</v>
      </c>
    </row>
    <row r="290" spans="7:12">
      <c r="G290">
        <v>288</v>
      </c>
      <c r="H290" t="s">
        <v>233</v>
      </c>
      <c r="K290">
        <v>288</v>
      </c>
      <c r="L290" t="s">
        <v>229</v>
      </c>
    </row>
    <row r="291" spans="7:12">
      <c r="G291">
        <v>289</v>
      </c>
      <c r="H291" t="s">
        <v>233</v>
      </c>
      <c r="K291">
        <v>289</v>
      </c>
      <c r="L291" t="s">
        <v>229</v>
      </c>
    </row>
    <row r="292" spans="7:12">
      <c r="G292">
        <v>290</v>
      </c>
      <c r="H292" t="s">
        <v>233</v>
      </c>
      <c r="K292">
        <v>290</v>
      </c>
      <c r="L292" t="s">
        <v>229</v>
      </c>
    </row>
    <row r="293" spans="7:12">
      <c r="G293">
        <v>291</v>
      </c>
      <c r="H293" t="s">
        <v>233</v>
      </c>
      <c r="K293">
        <v>291</v>
      </c>
      <c r="L293" t="s">
        <v>229</v>
      </c>
    </row>
    <row r="294" spans="7:12">
      <c r="G294">
        <v>292</v>
      </c>
      <c r="H294" t="s">
        <v>233</v>
      </c>
      <c r="K294">
        <v>292</v>
      </c>
      <c r="L294" t="s">
        <v>229</v>
      </c>
    </row>
    <row r="295" spans="7:12">
      <c r="G295">
        <v>293</v>
      </c>
      <c r="H295" t="s">
        <v>233</v>
      </c>
      <c r="K295">
        <v>293</v>
      </c>
      <c r="L295" t="s">
        <v>229</v>
      </c>
    </row>
    <row r="296" spans="7:12">
      <c r="G296">
        <v>294</v>
      </c>
      <c r="H296" t="s">
        <v>233</v>
      </c>
      <c r="K296">
        <v>294</v>
      </c>
      <c r="L296" t="s">
        <v>229</v>
      </c>
    </row>
    <row r="297" spans="7:12">
      <c r="G297">
        <v>295</v>
      </c>
      <c r="H297" t="s">
        <v>233</v>
      </c>
      <c r="K297">
        <v>295</v>
      </c>
      <c r="L297" t="s">
        <v>229</v>
      </c>
    </row>
    <row r="298" spans="7:12">
      <c r="G298">
        <v>296</v>
      </c>
      <c r="H298" t="s">
        <v>233</v>
      </c>
      <c r="K298">
        <v>296</v>
      </c>
      <c r="L298" t="s">
        <v>229</v>
      </c>
    </row>
    <row r="299" spans="7:12">
      <c r="G299">
        <v>297</v>
      </c>
      <c r="H299" t="s">
        <v>233</v>
      </c>
      <c r="K299">
        <v>297</v>
      </c>
      <c r="L299" t="s">
        <v>229</v>
      </c>
    </row>
    <row r="300" spans="7:12">
      <c r="G300">
        <v>298</v>
      </c>
      <c r="H300" t="s">
        <v>233</v>
      </c>
      <c r="K300">
        <v>298</v>
      </c>
      <c r="L300" t="s">
        <v>229</v>
      </c>
    </row>
    <row r="301" spans="7:12">
      <c r="G301">
        <v>299</v>
      </c>
      <c r="H301" t="s">
        <v>233</v>
      </c>
      <c r="K301">
        <v>299</v>
      </c>
      <c r="L301" t="s">
        <v>229</v>
      </c>
    </row>
    <row r="302" spans="7:12">
      <c r="G302">
        <v>300</v>
      </c>
      <c r="H302" t="s">
        <v>233</v>
      </c>
      <c r="K302">
        <v>300</v>
      </c>
      <c r="L302" t="s">
        <v>229</v>
      </c>
    </row>
    <row r="303" spans="7:12">
      <c r="K303">
        <v>301</v>
      </c>
      <c r="L303" t="s">
        <v>229</v>
      </c>
    </row>
    <row r="304" spans="7:12">
      <c r="K304">
        <v>302</v>
      </c>
      <c r="L304" t="s">
        <v>229</v>
      </c>
    </row>
    <row r="305" spans="11:12">
      <c r="K305">
        <v>303</v>
      </c>
      <c r="L305" t="s">
        <v>229</v>
      </c>
    </row>
    <row r="306" spans="11:12">
      <c r="K306">
        <v>304</v>
      </c>
      <c r="L306" t="s">
        <v>229</v>
      </c>
    </row>
    <row r="307" spans="11:12">
      <c r="K307">
        <v>305</v>
      </c>
      <c r="L307" t="s">
        <v>229</v>
      </c>
    </row>
    <row r="308" spans="11:12">
      <c r="K308">
        <v>306</v>
      </c>
      <c r="L308" t="s">
        <v>229</v>
      </c>
    </row>
    <row r="309" spans="11:12">
      <c r="K309">
        <v>307</v>
      </c>
      <c r="L309" t="s">
        <v>229</v>
      </c>
    </row>
    <row r="310" spans="11:12">
      <c r="K310">
        <v>308</v>
      </c>
      <c r="L310" t="s">
        <v>229</v>
      </c>
    </row>
    <row r="311" spans="11:12">
      <c r="K311">
        <v>309</v>
      </c>
      <c r="L311" t="s">
        <v>229</v>
      </c>
    </row>
    <row r="312" spans="11:12">
      <c r="K312">
        <v>310</v>
      </c>
      <c r="L312" t="s">
        <v>229</v>
      </c>
    </row>
    <row r="313" spans="11:12">
      <c r="K313">
        <v>311</v>
      </c>
      <c r="L313" t="s">
        <v>229</v>
      </c>
    </row>
    <row r="314" spans="11:12">
      <c r="K314">
        <v>312</v>
      </c>
      <c r="L314" t="s">
        <v>229</v>
      </c>
    </row>
    <row r="315" spans="11:12">
      <c r="K315">
        <v>313</v>
      </c>
      <c r="L315" t="s">
        <v>229</v>
      </c>
    </row>
    <row r="316" spans="11:12">
      <c r="K316">
        <v>314</v>
      </c>
      <c r="L316" t="s">
        <v>229</v>
      </c>
    </row>
    <row r="317" spans="11:12">
      <c r="K317">
        <v>315</v>
      </c>
      <c r="L317" t="s">
        <v>229</v>
      </c>
    </row>
    <row r="318" spans="11:12">
      <c r="K318">
        <v>316</v>
      </c>
      <c r="L318" t="s">
        <v>229</v>
      </c>
    </row>
    <row r="319" spans="11:12">
      <c r="K319">
        <v>317</v>
      </c>
      <c r="L319" t="s">
        <v>229</v>
      </c>
    </row>
    <row r="320" spans="11:12">
      <c r="K320">
        <v>318</v>
      </c>
      <c r="L320" t="s">
        <v>230</v>
      </c>
    </row>
    <row r="321" spans="11:12">
      <c r="K321">
        <v>319</v>
      </c>
      <c r="L321" t="s">
        <v>230</v>
      </c>
    </row>
    <row r="322" spans="11:12">
      <c r="K322">
        <v>320</v>
      </c>
      <c r="L322" t="s">
        <v>230</v>
      </c>
    </row>
    <row r="323" spans="11:12">
      <c r="K323">
        <v>321</v>
      </c>
      <c r="L323" t="s">
        <v>230</v>
      </c>
    </row>
    <row r="324" spans="11:12">
      <c r="K324">
        <v>322</v>
      </c>
      <c r="L324" t="s">
        <v>230</v>
      </c>
    </row>
    <row r="325" spans="11:12">
      <c r="K325">
        <v>323</v>
      </c>
      <c r="L325" t="s">
        <v>230</v>
      </c>
    </row>
    <row r="326" spans="11:12">
      <c r="K326">
        <v>324</v>
      </c>
      <c r="L326" t="s">
        <v>230</v>
      </c>
    </row>
    <row r="327" spans="11:12">
      <c r="K327">
        <v>325</v>
      </c>
      <c r="L327" t="s">
        <v>230</v>
      </c>
    </row>
    <row r="328" spans="11:12">
      <c r="K328">
        <v>326</v>
      </c>
      <c r="L328" t="s">
        <v>230</v>
      </c>
    </row>
    <row r="329" spans="11:12">
      <c r="K329">
        <v>327</v>
      </c>
      <c r="L329" t="s">
        <v>230</v>
      </c>
    </row>
    <row r="330" spans="11:12">
      <c r="K330">
        <v>328</v>
      </c>
      <c r="L330" t="s">
        <v>230</v>
      </c>
    </row>
    <row r="331" spans="11:12">
      <c r="K331">
        <v>329</v>
      </c>
      <c r="L331" t="s">
        <v>230</v>
      </c>
    </row>
    <row r="332" spans="11:12">
      <c r="K332">
        <v>330</v>
      </c>
      <c r="L332" t="s">
        <v>230</v>
      </c>
    </row>
    <row r="333" spans="11:12">
      <c r="K333">
        <v>331</v>
      </c>
      <c r="L333" t="s">
        <v>230</v>
      </c>
    </row>
    <row r="334" spans="11:12">
      <c r="K334">
        <v>332</v>
      </c>
      <c r="L334" t="s">
        <v>230</v>
      </c>
    </row>
    <row r="335" spans="11:12">
      <c r="K335">
        <v>333</v>
      </c>
      <c r="L335" t="s">
        <v>230</v>
      </c>
    </row>
    <row r="336" spans="11:12">
      <c r="K336">
        <v>334</v>
      </c>
      <c r="L336" t="s">
        <v>230</v>
      </c>
    </row>
    <row r="337" spans="11:12">
      <c r="K337">
        <v>335</v>
      </c>
      <c r="L337" t="s">
        <v>230</v>
      </c>
    </row>
    <row r="338" spans="11:12">
      <c r="K338">
        <v>336</v>
      </c>
      <c r="L338" t="s">
        <v>230</v>
      </c>
    </row>
    <row r="339" spans="11:12">
      <c r="K339">
        <v>337</v>
      </c>
      <c r="L339" t="s">
        <v>230</v>
      </c>
    </row>
    <row r="340" spans="11:12">
      <c r="K340">
        <v>338</v>
      </c>
      <c r="L340" t="s">
        <v>230</v>
      </c>
    </row>
    <row r="341" spans="11:12">
      <c r="K341">
        <v>339</v>
      </c>
      <c r="L341" t="s">
        <v>230</v>
      </c>
    </row>
    <row r="342" spans="11:12">
      <c r="K342">
        <v>340</v>
      </c>
      <c r="L342" t="s">
        <v>230</v>
      </c>
    </row>
    <row r="343" spans="11:12">
      <c r="K343">
        <v>341</v>
      </c>
      <c r="L343" t="s">
        <v>230</v>
      </c>
    </row>
    <row r="344" spans="11:12">
      <c r="K344">
        <v>342</v>
      </c>
      <c r="L344" t="s">
        <v>230</v>
      </c>
    </row>
    <row r="345" spans="11:12">
      <c r="K345">
        <v>343</v>
      </c>
      <c r="L345" t="s">
        <v>230</v>
      </c>
    </row>
    <row r="346" spans="11:12">
      <c r="K346">
        <v>344</v>
      </c>
      <c r="L346" t="s">
        <v>230</v>
      </c>
    </row>
    <row r="347" spans="11:12">
      <c r="K347">
        <v>345</v>
      </c>
      <c r="L347" t="s">
        <v>230</v>
      </c>
    </row>
    <row r="348" spans="11:12">
      <c r="K348">
        <v>346</v>
      </c>
      <c r="L348" t="s">
        <v>230</v>
      </c>
    </row>
    <row r="349" spans="11:12">
      <c r="K349">
        <v>347</v>
      </c>
      <c r="L349" t="s">
        <v>230</v>
      </c>
    </row>
    <row r="350" spans="11:12">
      <c r="K350">
        <v>348</v>
      </c>
      <c r="L350" t="s">
        <v>230</v>
      </c>
    </row>
    <row r="351" spans="11:12">
      <c r="K351">
        <v>349</v>
      </c>
      <c r="L351" t="s">
        <v>230</v>
      </c>
    </row>
    <row r="352" spans="11:12">
      <c r="K352">
        <v>350</v>
      </c>
      <c r="L352" t="s">
        <v>230</v>
      </c>
    </row>
    <row r="353" spans="11:12">
      <c r="K353">
        <v>351</v>
      </c>
      <c r="L353" t="s">
        <v>230</v>
      </c>
    </row>
    <row r="354" spans="11:12">
      <c r="K354">
        <v>352</v>
      </c>
      <c r="L354" t="s">
        <v>230</v>
      </c>
    </row>
    <row r="355" spans="11:12">
      <c r="K355">
        <v>353</v>
      </c>
      <c r="L355" t="s">
        <v>230</v>
      </c>
    </row>
    <row r="356" spans="11:12">
      <c r="K356">
        <v>354</v>
      </c>
      <c r="L356" t="s">
        <v>230</v>
      </c>
    </row>
    <row r="357" spans="11:12">
      <c r="K357">
        <v>355</v>
      </c>
      <c r="L357" t="s">
        <v>230</v>
      </c>
    </row>
    <row r="358" spans="11:12">
      <c r="K358">
        <v>356</v>
      </c>
      <c r="L358" t="s">
        <v>230</v>
      </c>
    </row>
    <row r="359" spans="11:12">
      <c r="K359">
        <v>357</v>
      </c>
      <c r="L359" t="s">
        <v>230</v>
      </c>
    </row>
    <row r="360" spans="11:12">
      <c r="K360">
        <v>358</v>
      </c>
      <c r="L360" t="s">
        <v>230</v>
      </c>
    </row>
    <row r="361" spans="11:12">
      <c r="K361">
        <v>359</v>
      </c>
      <c r="L361" t="s">
        <v>230</v>
      </c>
    </row>
    <row r="362" spans="11:12">
      <c r="K362">
        <v>360</v>
      </c>
      <c r="L362" t="s">
        <v>231</v>
      </c>
    </row>
    <row r="363" spans="11:12">
      <c r="K363">
        <v>361</v>
      </c>
      <c r="L363" t="s">
        <v>231</v>
      </c>
    </row>
    <row r="364" spans="11:12">
      <c r="K364">
        <v>362</v>
      </c>
      <c r="L364" t="s">
        <v>231</v>
      </c>
    </row>
    <row r="365" spans="11:12">
      <c r="K365">
        <v>363</v>
      </c>
      <c r="L365" t="s">
        <v>231</v>
      </c>
    </row>
    <row r="366" spans="11:12">
      <c r="K366">
        <v>364</v>
      </c>
      <c r="L366" t="s">
        <v>231</v>
      </c>
    </row>
    <row r="367" spans="11:12">
      <c r="K367">
        <v>365</v>
      </c>
      <c r="L367" t="s">
        <v>231</v>
      </c>
    </row>
    <row r="368" spans="11:12">
      <c r="K368">
        <v>366</v>
      </c>
      <c r="L368" t="s">
        <v>232</v>
      </c>
    </row>
    <row r="369" spans="11:12">
      <c r="K369">
        <v>367</v>
      </c>
      <c r="L369" t="s">
        <v>232</v>
      </c>
    </row>
    <row r="370" spans="11:12">
      <c r="K370">
        <v>368</v>
      </c>
      <c r="L370" t="s">
        <v>232</v>
      </c>
    </row>
    <row r="371" spans="11:12">
      <c r="K371">
        <v>369</v>
      </c>
      <c r="L371" t="s">
        <v>232</v>
      </c>
    </row>
    <row r="372" spans="11:12">
      <c r="K372">
        <v>370</v>
      </c>
      <c r="L372" t="s">
        <v>232</v>
      </c>
    </row>
    <row r="373" spans="11:12">
      <c r="K373">
        <v>371</v>
      </c>
      <c r="L373" t="s">
        <v>232</v>
      </c>
    </row>
    <row r="374" spans="11:12">
      <c r="K374">
        <v>372</v>
      </c>
      <c r="L374" t="s">
        <v>233</v>
      </c>
    </row>
    <row r="375" spans="11:12">
      <c r="K375">
        <v>373</v>
      </c>
      <c r="L375" t="s">
        <v>233</v>
      </c>
    </row>
    <row r="376" spans="11:12">
      <c r="K376">
        <v>374</v>
      </c>
      <c r="L376" t="s">
        <v>233</v>
      </c>
    </row>
    <row r="377" spans="11:12">
      <c r="K377">
        <v>375</v>
      </c>
      <c r="L377" t="s">
        <v>233</v>
      </c>
    </row>
    <row r="378" spans="11:12">
      <c r="K378">
        <v>376</v>
      </c>
      <c r="L378" t="s">
        <v>233</v>
      </c>
    </row>
    <row r="379" spans="11:12">
      <c r="K379">
        <v>377</v>
      </c>
      <c r="L379" t="s">
        <v>233</v>
      </c>
    </row>
    <row r="380" spans="11:12">
      <c r="K380">
        <v>378</v>
      </c>
      <c r="L380" t="s">
        <v>233</v>
      </c>
    </row>
    <row r="381" spans="11:12">
      <c r="K381">
        <v>379</v>
      </c>
      <c r="L381" t="s">
        <v>233</v>
      </c>
    </row>
    <row r="382" spans="11:12">
      <c r="K382">
        <v>380</v>
      </c>
      <c r="L382" t="s">
        <v>233</v>
      </c>
    </row>
    <row r="383" spans="11:12">
      <c r="K383">
        <v>381</v>
      </c>
      <c r="L383" t="s">
        <v>233</v>
      </c>
    </row>
    <row r="384" spans="11:12">
      <c r="K384">
        <v>382</v>
      </c>
      <c r="L384" t="s">
        <v>233</v>
      </c>
    </row>
    <row r="385" spans="11:12">
      <c r="K385">
        <v>383</v>
      </c>
      <c r="L385" t="s">
        <v>233</v>
      </c>
    </row>
    <row r="386" spans="11:12">
      <c r="K386">
        <v>384</v>
      </c>
      <c r="L386" t="s">
        <v>233</v>
      </c>
    </row>
    <row r="387" spans="11:12">
      <c r="K387">
        <v>385</v>
      </c>
    </row>
    <row r="388" spans="11:12">
      <c r="K388">
        <v>386</v>
      </c>
    </row>
    <row r="389" spans="11:12">
      <c r="K389">
        <v>387</v>
      </c>
    </row>
    <row r="390" spans="11:12">
      <c r="K390">
        <v>388</v>
      </c>
    </row>
    <row r="391" spans="11:12">
      <c r="K391">
        <v>389</v>
      </c>
    </row>
    <row r="392" spans="11:12">
      <c r="K392">
        <v>390</v>
      </c>
    </row>
  </sheetData>
  <mergeCells count="1">
    <mergeCell ref="D1:E1"/>
  </mergeCell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Start</vt:lpstr>
      <vt:lpstr>Award</vt:lpstr>
      <vt:lpstr>Data</vt:lpstr>
      <vt:lpstr>Drop Down</vt:lpstr>
      <vt:lpstr>Sheet1</vt:lpstr>
      <vt:lpstr>Certificate</vt:lpstr>
      <vt:lpstr>Cert Unit Data</vt:lpstr>
      <vt:lpstr>Cert Validation</vt:lpstr>
      <vt:lpstr>Extended Certificate</vt:lpstr>
      <vt:lpstr>Ext Cert Unit Data</vt:lpstr>
      <vt:lpstr>Diploma</vt:lpstr>
      <vt:lpstr>Diploma Validation</vt:lpstr>
      <vt:lpstr>Ext Cert Validation</vt:lpstr>
      <vt:lpstr>Diploma Unit Data</vt:lpstr>
      <vt:lpstr>Sheet1 (2)</vt:lpstr>
    </vt:vector>
  </TitlesOfParts>
  <Company>Pearson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davies_ge</dc:creator>
  <cp:lastModifiedBy>George</cp:lastModifiedBy>
  <dcterms:created xsi:type="dcterms:W3CDTF">2014-01-08T08:45:30Z</dcterms:created>
  <dcterms:modified xsi:type="dcterms:W3CDTF">2015-11-22T12:01:23Z</dcterms:modified>
</cp:coreProperties>
</file>